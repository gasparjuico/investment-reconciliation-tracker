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aspar\Data\Portfolio\investment-reconciliation-tracker\"/>
    </mc:Choice>
  </mc:AlternateContent>
  <xr:revisionPtr revIDLastSave="0" documentId="13_ncr:1_{89227116-B3CF-4F81-A60F-54F77F86832E}" xr6:coauthVersionLast="47" xr6:coauthVersionMax="47" xr10:uidLastSave="{00000000-0000-0000-0000-000000000000}"/>
  <bookViews>
    <workbookView xWindow="-19296" yWindow="-96" windowWidth="19392" windowHeight="10536" xr2:uid="{00000000-000D-0000-FFFF-FFFF00000000}"/>
  </bookViews>
  <sheets>
    <sheet name="Reconciliation" sheetId="2" r:id="rId1"/>
    <sheet name="Sheet1" sheetId="1" r:id="rId2"/>
  </sheets>
  <definedNames>
    <definedName name="ExternalData_1" localSheetId="0" hidden="1">'Reconciliation'!$A$1:$K$11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2865CB-519E-43FB-965F-ACF03F91B14A}" keepAlive="1" name="Query - Custodian_Report" description="Connection to the 'Custodian_Report' query in the workbook." type="5" refreshedVersion="0" background="1">
    <dbPr connection="Provider=Microsoft.Mashup.OleDb.1;Data Source=$Workbook$;Location=Custodian_Report;Extended Properties=&quot;&quot;" command="SELECT * FROM [Custodian_Report]"/>
  </connection>
  <connection id="2" xr16:uid="{B53D4689-577A-4634-A9E1-FE2ED476841D}" keepAlive="1" name="Query - Fund_Statement" description="Connection to the 'Fund_Statement' query in the workbook." type="5" refreshedVersion="0" background="1">
    <dbPr connection="Provider=Microsoft.Mashup.OleDb.1;Data Source=$Workbook$;Location=Fund_Statement;Extended Properties=&quot;&quot;" command="SELECT * FROM [Fund_Statement]"/>
  </connection>
  <connection id="3" xr16:uid="{7C29C49B-C70F-481D-AE14-77FC5B27376D}" keepAlive="1" name="Query - Reconciliation" description="Connection to the 'Reconciliation' query in the workbook." type="5" refreshedVersion="8" background="1" saveData="1">
    <dbPr connection="Provider=Microsoft.Mashup.OleDb.1;Data Source=$Workbook$;Location=Reconciliation;Extended Properties=&quot;&quot;" command="SELECT * FROM [Reconciliation]"/>
  </connection>
</connections>
</file>

<file path=xl/sharedStrings.xml><?xml version="1.0" encoding="utf-8"?>
<sst xmlns="http://schemas.openxmlformats.org/spreadsheetml/2006/main" count="61" uniqueCount="44">
  <si>
    <t>Fund ID</t>
  </si>
  <si>
    <t>Fund Name</t>
  </si>
  <si>
    <t>Asset Class</t>
  </si>
  <si>
    <t>Custodian Market Value</t>
  </si>
  <si>
    <t>Custodian Report Date</t>
  </si>
  <si>
    <t>Statement Market Value</t>
  </si>
  <si>
    <t>Statememnt Report Date</t>
  </si>
  <si>
    <t>Difference ($)</t>
  </si>
  <si>
    <t>Difference (%)</t>
  </si>
  <si>
    <t>Status Flag</t>
  </si>
  <si>
    <t>Issue Type</t>
  </si>
  <si>
    <t>F001</t>
  </si>
  <si>
    <t>Blackrock Equity Fund</t>
  </si>
  <si>
    <t>Public Equity</t>
  </si>
  <si>
    <t>MATCH</t>
  </si>
  <si>
    <t>OK</t>
  </si>
  <si>
    <t>F002</t>
  </si>
  <si>
    <t>KKR Private Equity III</t>
  </si>
  <si>
    <t>Private Equity</t>
  </si>
  <si>
    <t>BREAK</t>
  </si>
  <si>
    <t>NAV Mismatch</t>
  </si>
  <si>
    <t>F003</t>
  </si>
  <si>
    <t>Vanguard Bond Fund</t>
  </si>
  <si>
    <t>Fixed Income</t>
  </si>
  <si>
    <t>F004</t>
  </si>
  <si>
    <t>Apollo Real Assets</t>
  </si>
  <si>
    <t>Real Assets</t>
  </si>
  <si>
    <t>F005</t>
  </si>
  <si>
    <t>Bridgewater All Weather</t>
  </si>
  <si>
    <t>Hedge Fund</t>
  </si>
  <si>
    <t>STALE DATE</t>
  </si>
  <si>
    <t>Stale Date</t>
  </si>
  <si>
    <t>F006</t>
  </si>
  <si>
    <t>Carlyle Growth Fund</t>
  </si>
  <si>
    <t>F007</t>
  </si>
  <si>
    <t>PIMCO Income Fund</t>
  </si>
  <si>
    <t>MISSING DATA</t>
  </si>
  <si>
    <t>Missing Value</t>
  </si>
  <si>
    <t>F008</t>
  </si>
  <si>
    <t>Sequoia Venture Fund</t>
  </si>
  <si>
    <t>F009</t>
  </si>
  <si>
    <t>iShares Global REIT</t>
  </si>
  <si>
    <t>F010</t>
  </si>
  <si>
    <t>Two Sigma Futures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</si>
</sst>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6">
    <dxf>
      <font>
        <color rgb="FF9C5700"/>
      </font>
      <fill>
        <patternFill>
          <bgColor rgb="FFFFEB9C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713B934-1C2B-4DF9-A4E7-25F1B3EB2C3D}" autoFormatId="16" applyNumberFormats="0" applyBorderFormats="0" applyFontFormats="0" applyPatternFormats="0" applyAlignmentFormats="0" applyWidthHeightFormats="0">
  <queryTableRefresh nextId="12">
    <queryTableFields count="11">
      <queryTableField id="1" name="Fund ID" tableColumnId="1"/>
      <queryTableField id="2" name="Fund Name" tableColumnId="2"/>
      <queryTableField id="3" name="Asset Class" tableColumnId="3"/>
      <queryTableField id="4" name="Custodian Market Value" tableColumnId="4"/>
      <queryTableField id="5" name="Custodian Report Date" tableColumnId="5"/>
      <queryTableField id="6" name="Statement Market Value" tableColumnId="6"/>
      <queryTableField id="7" name="Statememnt Report Date" tableColumnId="7"/>
      <queryTableField id="8" name="Difference ($)" tableColumnId="8"/>
      <queryTableField id="9" name="Difference (%)" tableColumnId="9"/>
      <queryTableField id="10" name="Status Flag" tableColumnId="10"/>
      <queryTableField id="11" name="Issue Type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F082A-EB9F-48D9-B5FC-859B5DFB74AB}" name="Reconciliation" displayName="Reconciliation" ref="A1:K11" tableType="queryTable" totalsRowShown="0">
  <autoFilter ref="A1:K11" xr:uid="{27DF082A-EB9F-48D9-B5FC-859B5DFB74AB}"/>
  <tableColumns count="11">
    <tableColumn id="1" xr3:uid="{DABA9359-B81E-4CC7-9CD0-11A733321E9E}" uniqueName="1" name="Fund ID" queryTableFieldId="1" dataDxfId="15"/>
    <tableColumn id="2" xr3:uid="{84A93B77-8E17-436F-B764-FA6B8C0BCF33}" uniqueName="2" name="Fund Name" queryTableFieldId="2" dataDxfId="14"/>
    <tableColumn id="3" xr3:uid="{0AA2ADD2-1F88-421C-96A4-AFBC6806EDAB}" uniqueName="3" name="Asset Class" queryTableFieldId="3" dataDxfId="13"/>
    <tableColumn id="4" xr3:uid="{549656F2-A49C-4EF6-9694-4013B6474E52}" uniqueName="4" name="Custodian Market Value" queryTableFieldId="4"/>
    <tableColumn id="5" xr3:uid="{D075F688-B784-4AA8-A1A7-EBF09B5DC8B5}" uniqueName="5" name="Custodian Report Date" queryTableFieldId="5" dataDxfId="12"/>
    <tableColumn id="6" xr3:uid="{4CF9E3C1-2B58-4DB0-AD49-BA2BEC81EAA2}" uniqueName="6" name="Statement Market Value" queryTableFieldId="6"/>
    <tableColumn id="7" xr3:uid="{D1A427B3-AB28-4F86-8C5C-B32B8A9297D4}" uniqueName="7" name="Statememnt Report Date" queryTableFieldId="7" dataDxfId="11"/>
    <tableColumn id="8" xr3:uid="{8D0A0179-A009-4CF9-A491-2AFE4A9B0A23}" uniqueName="8" name="Difference ($)" queryTableFieldId="8"/>
    <tableColumn id="9" xr3:uid="{BF7B0515-D1B8-49EF-81F9-65774A212195}" uniqueName="9" name="Difference (%)" queryTableFieldId="9"/>
    <tableColumn id="10" xr3:uid="{1BC99722-B6B6-44CE-8650-1AFF082F56EA}" uniqueName="10" name="Status Flag" queryTableFieldId="10" dataDxfId="10"/>
    <tableColumn id="11" xr3:uid="{EC8900C0-F1BD-466B-9A2F-8A2A27D1E372}" uniqueName="11" name="Issue Type" queryTableFieldId="11" dataDxfId="9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1FC7F-AF7E-44EC-9A13-E57257A0B0DE}">
  <dimension ref="A1:K11"/>
  <sheetViews>
    <sheetView tabSelected="1" topLeftCell="G1" workbookViewId="0">
      <selection activeCell="N12" sqref="N12"/>
    </sheetView>
  </sheetViews>
  <sheetFormatPr defaultRowHeight="15" x14ac:dyDescent="0.25"/>
  <cols>
    <col min="1" max="1" width="10" bestFit="1" customWidth="1"/>
    <col min="2" max="2" width="23.28515625" bestFit="1" customWidth="1"/>
    <col min="3" max="3" width="13.42578125" bestFit="1" customWidth="1"/>
    <col min="4" max="4" width="25" bestFit="1" customWidth="1"/>
    <col min="5" max="5" width="23.42578125" bestFit="1" customWidth="1"/>
    <col min="6" max="6" width="25.42578125" bestFit="1" customWidth="1"/>
    <col min="7" max="7" width="25.7109375" bestFit="1" customWidth="1"/>
    <col min="8" max="8" width="15.7109375" bestFit="1" customWidth="1"/>
    <col min="9" max="9" width="16.28515625" bestFit="1" customWidth="1"/>
    <col min="10" max="10" width="14" bestFit="1" customWidth="1"/>
    <col min="11" max="11" width="14.140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 t="s">
        <v>13</v>
      </c>
      <c r="D2">
        <v>5200000</v>
      </c>
      <c r="E2" s="1">
        <v>45382</v>
      </c>
      <c r="F2">
        <v>5200000</v>
      </c>
      <c r="G2" s="1">
        <v>45382</v>
      </c>
      <c r="H2">
        <v>0</v>
      </c>
      <c r="I2">
        <v>0</v>
      </c>
      <c r="J2" t="s">
        <v>14</v>
      </c>
      <c r="K2" t="s">
        <v>15</v>
      </c>
    </row>
    <row r="3" spans="1:11" x14ac:dyDescent="0.25">
      <c r="A3" t="s">
        <v>16</v>
      </c>
      <c r="B3" t="s">
        <v>17</v>
      </c>
      <c r="C3" t="s">
        <v>18</v>
      </c>
      <c r="D3">
        <v>12750000</v>
      </c>
      <c r="E3" s="1">
        <v>45382</v>
      </c>
      <c r="F3">
        <v>12900000</v>
      </c>
      <c r="G3" s="1">
        <v>45382</v>
      </c>
      <c r="H3">
        <v>-150000</v>
      </c>
      <c r="I3">
        <v>1.1764705882352941E-2</v>
      </c>
      <c r="J3" t="s">
        <v>19</v>
      </c>
      <c r="K3" t="s">
        <v>20</v>
      </c>
    </row>
    <row r="4" spans="1:11" x14ac:dyDescent="0.25">
      <c r="A4" t="s">
        <v>21</v>
      </c>
      <c r="B4" t="s">
        <v>22</v>
      </c>
      <c r="C4" t="s">
        <v>23</v>
      </c>
      <c r="D4">
        <v>3100000</v>
      </c>
      <c r="E4" s="1">
        <v>45382</v>
      </c>
      <c r="F4">
        <v>3100000</v>
      </c>
      <c r="G4" s="1">
        <v>45382</v>
      </c>
      <c r="H4">
        <v>0</v>
      </c>
      <c r="I4">
        <v>0</v>
      </c>
      <c r="J4" t="s">
        <v>14</v>
      </c>
      <c r="K4" t="s">
        <v>15</v>
      </c>
    </row>
    <row r="5" spans="1:11" x14ac:dyDescent="0.25">
      <c r="A5" t="s">
        <v>24</v>
      </c>
      <c r="B5" t="s">
        <v>25</v>
      </c>
      <c r="C5" t="s">
        <v>26</v>
      </c>
      <c r="D5">
        <v>8400000</v>
      </c>
      <c r="E5" s="1">
        <v>45382</v>
      </c>
      <c r="F5">
        <v>8400000</v>
      </c>
      <c r="G5" s="1">
        <v>45382</v>
      </c>
      <c r="H5">
        <v>0</v>
      </c>
      <c r="I5">
        <v>0</v>
      </c>
      <c r="J5" t="s">
        <v>14</v>
      </c>
      <c r="K5" t="s">
        <v>15</v>
      </c>
    </row>
    <row r="6" spans="1:11" x14ac:dyDescent="0.25">
      <c r="A6" t="s">
        <v>27</v>
      </c>
      <c r="B6" t="s">
        <v>28</v>
      </c>
      <c r="C6" t="s">
        <v>29</v>
      </c>
      <c r="D6">
        <v>6600000</v>
      </c>
      <c r="E6" s="1">
        <v>45382</v>
      </c>
      <c r="F6">
        <v>6600000</v>
      </c>
      <c r="G6" s="1">
        <v>45351</v>
      </c>
      <c r="H6">
        <v>0</v>
      </c>
      <c r="I6">
        <v>0</v>
      </c>
      <c r="J6" t="s">
        <v>30</v>
      </c>
      <c r="K6" t="s">
        <v>31</v>
      </c>
    </row>
    <row r="7" spans="1:11" x14ac:dyDescent="0.25">
      <c r="A7" t="s">
        <v>32</v>
      </c>
      <c r="B7" t="s">
        <v>33</v>
      </c>
      <c r="C7" t="s">
        <v>18</v>
      </c>
      <c r="D7">
        <v>9800000</v>
      </c>
      <c r="E7" s="1">
        <v>45382</v>
      </c>
      <c r="F7">
        <v>9800000</v>
      </c>
      <c r="G7" s="1">
        <v>45382</v>
      </c>
      <c r="H7">
        <v>0</v>
      </c>
      <c r="I7">
        <v>0</v>
      </c>
      <c r="J7" t="s">
        <v>14</v>
      </c>
      <c r="K7" t="s">
        <v>15</v>
      </c>
    </row>
    <row r="8" spans="1:11" x14ac:dyDescent="0.25">
      <c r="A8" t="s">
        <v>34</v>
      </c>
      <c r="B8" t="s">
        <v>35</v>
      </c>
      <c r="C8" t="s">
        <v>23</v>
      </c>
      <c r="D8">
        <v>4250000</v>
      </c>
      <c r="E8" s="1">
        <v>45382</v>
      </c>
      <c r="G8" s="1">
        <v>45382</v>
      </c>
      <c r="J8" t="s">
        <v>36</v>
      </c>
      <c r="K8" t="s">
        <v>37</v>
      </c>
    </row>
    <row r="9" spans="1:11" x14ac:dyDescent="0.25">
      <c r="A9" t="s">
        <v>38</v>
      </c>
      <c r="B9" t="s">
        <v>39</v>
      </c>
      <c r="C9" t="s">
        <v>18</v>
      </c>
      <c r="D9">
        <v>2100000</v>
      </c>
      <c r="E9" s="1">
        <v>45382</v>
      </c>
      <c r="F9">
        <v>2100000</v>
      </c>
      <c r="G9" s="1">
        <v>45382</v>
      </c>
      <c r="H9">
        <v>0</v>
      </c>
      <c r="I9">
        <v>0</v>
      </c>
      <c r="J9" t="s">
        <v>14</v>
      </c>
      <c r="K9" t="s">
        <v>15</v>
      </c>
    </row>
    <row r="10" spans="1:11" x14ac:dyDescent="0.25">
      <c r="A10" t="s">
        <v>40</v>
      </c>
      <c r="B10" t="s">
        <v>41</v>
      </c>
      <c r="C10" t="s">
        <v>26</v>
      </c>
      <c r="D10">
        <v>3750000</v>
      </c>
      <c r="E10" s="1">
        <v>45382</v>
      </c>
      <c r="F10">
        <v>3712500</v>
      </c>
      <c r="G10" s="1">
        <v>45382</v>
      </c>
      <c r="H10">
        <v>37500</v>
      </c>
      <c r="I10">
        <v>0.01</v>
      </c>
      <c r="J10" t="s">
        <v>19</v>
      </c>
      <c r="K10" t="s">
        <v>20</v>
      </c>
    </row>
    <row r="11" spans="1:11" x14ac:dyDescent="0.25">
      <c r="A11" t="s">
        <v>42</v>
      </c>
      <c r="B11" t="s">
        <v>43</v>
      </c>
      <c r="C11" t="s">
        <v>29</v>
      </c>
      <c r="D11">
        <v>7300000</v>
      </c>
      <c r="E11" s="1">
        <v>45382</v>
      </c>
      <c r="F11">
        <v>7300000</v>
      </c>
      <c r="G11" s="1">
        <v>45382</v>
      </c>
      <c r="H11">
        <v>0</v>
      </c>
      <c r="I11">
        <v>0</v>
      </c>
      <c r="J11" t="s">
        <v>14</v>
      </c>
      <c r="K11" t="s">
        <v>15</v>
      </c>
    </row>
  </sheetData>
  <conditionalFormatting sqref="J1:J1048576">
    <cfRule type="containsText" dxfId="5" priority="1" operator="containsText" text="STALE DATE">
      <formula>NOT(ISERROR(SEARCH("STALE DATE",J1)))</formula>
    </cfRule>
    <cfRule type="containsText" dxfId="4" priority="2" operator="containsText" text="MISSING DATA">
      <formula>NOT(ISERROR(SEARCH("MISSING DATA",J1)))</formula>
    </cfRule>
    <cfRule type="containsText" dxfId="3" priority="3" operator="containsText" text="BREAK">
      <formula>NOT(ISERROR(SEARCH("BREAK",J1)))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0087DD8-0C55-42F6-B527-1EC2656DEA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Reconciliation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Gaspar Juico</dc:creator>
  <cp:lastModifiedBy>Gaspar Juico</cp:lastModifiedBy>
  <dcterms:created xsi:type="dcterms:W3CDTF">2015-06-05T18:17:20Z</dcterms:created>
  <dcterms:modified xsi:type="dcterms:W3CDTF">2026-04-23T09:16:11Z</dcterms:modified>
</cp:coreProperties>
</file>