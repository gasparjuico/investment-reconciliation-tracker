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aspar\Data\Portfolio\investment-reconciliation-tracker\"/>
    </mc:Choice>
  </mc:AlternateContent>
  <xr:revisionPtr revIDLastSave="0" documentId="13_ncr:1_{9D2B8DC8-A2F6-4772-ACED-EFBDA2986E67}" xr6:coauthVersionLast="47" xr6:coauthVersionMax="47" xr10:uidLastSave="{00000000-0000-0000-0000-000000000000}"/>
  <bookViews>
    <workbookView xWindow="-240" yWindow="-240" windowWidth="29280" windowHeight="16230" activeTab="1" xr2:uid="{00000000-000D-0000-FFFF-FFFF00000000}"/>
  </bookViews>
  <sheets>
    <sheet name="Reconciliation" sheetId="2" r:id="rId1"/>
    <sheet name="Dashboard" sheetId="1" r:id="rId2"/>
    <sheet name="Helper" sheetId="3" state="hidden" r:id="rId3"/>
  </sheets>
  <definedNames>
    <definedName name="ExternalData_1" localSheetId="0" hidden="1">'Reconciliation'!$A$1:$K$11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B5" i="3"/>
  <c r="B4" i="3"/>
  <c r="B3" i="3"/>
  <c r="B2" i="3"/>
  <c r="B6" i="3" s="1"/>
  <c r="B1" i="3"/>
  <c r="B7" i="1"/>
  <c r="W24" i="1" a="1"/>
  <c r="W24" i="1" s="1"/>
  <c r="B12" i="3"/>
  <c r="B13" i="3"/>
  <c r="B11" i="3"/>
  <c r="B10" i="3"/>
  <c r="B9" i="3"/>
  <c r="AU24" i="1" a="1"/>
  <c r="AU24" i="1" s="1"/>
  <c r="AP24" i="1" a="1"/>
  <c r="AP24" i="1" s="1"/>
  <c r="AK24" i="1" a="1"/>
  <c r="AK24" i="1" s="1"/>
  <c r="AD24" i="1" a="1"/>
  <c r="AD24" i="1" s="1"/>
  <c r="P24" i="1" a="1"/>
  <c r="P24" i="1" s="1"/>
  <c r="G24" i="1" a="1"/>
  <c r="G24" i="1" s="1"/>
  <c r="B24" i="1" a="1"/>
  <c r="B24" i="1" s="1"/>
  <c r="AD7" i="1"/>
  <c r="W7" i="1"/>
  <c r="P7" i="1"/>
  <c r="AK7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2865CB-519E-43FB-965F-ACF03F91B14A}" keepAlive="1" name="Query - Custodian_Report" description="Connection to the 'Custodian_Report' query in the workbook." type="5" refreshedVersion="0" background="1">
    <dbPr connection="Provider=Microsoft.Mashup.OleDb.1;Data Source=$Workbook$;Location=Custodian_Report;Extended Properties=&quot;&quot;" command="SELECT * FROM [Custodian_Report]"/>
  </connection>
  <connection id="2" xr16:uid="{B53D4689-577A-4634-A9E1-FE2ED476841D}" keepAlive="1" name="Query - Fund_Statement" description="Connection to the 'Fund_Statement' query in the workbook." type="5" refreshedVersion="0" background="1">
    <dbPr connection="Provider=Microsoft.Mashup.OleDb.1;Data Source=$Workbook$;Location=Fund_Statement;Extended Properties=&quot;&quot;" command="SELECT * FROM [Fund_Statement]"/>
  </connection>
  <connection id="3" xr16:uid="{7C29C49B-C70F-481D-AE14-77FC5B27376D}" keepAlive="1" name="Query - Reconciliation" description="Connection to the 'Reconciliation' query in the workbook." type="5" refreshedVersion="8" background="1" saveData="1">
    <dbPr connection="Provider=Microsoft.Mashup.OleDb.1;Data Source=$Workbook$;Location=Reconciliation;Extended Properties=&quot;&quot;" command="SELECT * FROM [Reconciliation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<sst xmlns="http://schemas.openxmlformats.org/spreadsheetml/2006/main" count="90" uniqueCount="56">
  <si>
    <t>Fund ID</t>
  </si>
  <si>
    <t>Fund Name</t>
  </si>
  <si>
    <t>Asset Class</t>
  </si>
  <si>
    <t>Custodian Market Value</t>
  </si>
  <si>
    <t>Custodian Report Date</t>
  </si>
  <si>
    <t>Statement Market Value</t>
  </si>
  <si>
    <t>Statememnt Report Date</t>
  </si>
  <si>
    <t>Difference ($)</t>
  </si>
  <si>
    <t>Difference (%)</t>
  </si>
  <si>
    <t>Issue Type</t>
  </si>
  <si>
    <t>F001</t>
  </si>
  <si>
    <t>Blackrock Equity Fund</t>
  </si>
  <si>
    <t>Public Equity</t>
  </si>
  <si>
    <t>MATCH</t>
  </si>
  <si>
    <t>OK</t>
  </si>
  <si>
    <t>F002</t>
  </si>
  <si>
    <t>KKR Private Equity III</t>
  </si>
  <si>
    <t>Private Equity</t>
  </si>
  <si>
    <t>BREAK</t>
  </si>
  <si>
    <t>NAV Mismatch</t>
  </si>
  <si>
    <t>F003</t>
  </si>
  <si>
    <t>Vanguard Bond Fund</t>
  </si>
  <si>
    <t>Fixed Income</t>
  </si>
  <si>
    <t>F004</t>
  </si>
  <si>
    <t>Apollo Real Assets</t>
  </si>
  <si>
    <t>Real Assets</t>
  </si>
  <si>
    <t>F005</t>
  </si>
  <si>
    <t>Bridgewater All Weather</t>
  </si>
  <si>
    <t>Hedge Fund</t>
  </si>
  <si>
    <t>STALE DATE</t>
  </si>
  <si>
    <t>Stale Date</t>
  </si>
  <si>
    <t>F006</t>
  </si>
  <si>
    <t>Carlyle Growth Fund</t>
  </si>
  <si>
    <t>F007</t>
  </si>
  <si>
    <t>PIMCO Income Fund</t>
  </si>
  <si>
    <t>MISSING DATA</t>
  </si>
  <si>
    <t>Missing Value</t>
  </si>
  <si>
    <t>F008</t>
  </si>
  <si>
    <t>Sequoia Venture Fund</t>
  </si>
  <si>
    <t>F009</t>
  </si>
  <si>
    <t>iShares Global REIT</t>
  </si>
  <si>
    <t>F010</t>
  </si>
  <si>
    <t>Two Sigma Futures</t>
  </si>
  <si>
    <t>Total Matches</t>
  </si>
  <si>
    <t>Total Breaks</t>
  </si>
  <si>
    <t>Missing Data</t>
  </si>
  <si>
    <t>Stale Dates</t>
  </si>
  <si>
    <t>Match Rate</t>
  </si>
  <si>
    <t>Status</t>
  </si>
  <si>
    <t xml:space="preserve">Fund ID </t>
  </si>
  <si>
    <t>Custodian Value</t>
  </si>
  <si>
    <t>Statement Value</t>
  </si>
  <si>
    <t>Exception Count</t>
  </si>
  <si>
    <t>Total Positions</t>
  </si>
  <si>
    <t>Investment Portfolio Reconciliation Dashboard</t>
  </si>
  <si>
    <t>EXCEPTIONS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</si>
</sst>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-#,##0;&quot;-&quot;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14"/>
      <color theme="0"/>
      <name val="Segoe UI"/>
      <family val="2"/>
    </font>
    <font>
      <sz val="9"/>
      <color theme="1"/>
      <name val="Segoe UI"/>
      <family val="2"/>
    </font>
    <font>
      <b/>
      <sz val="9"/>
      <color theme="2" tint="-0.499984740745262"/>
      <name val="Segoe UI"/>
      <family val="2"/>
    </font>
    <font>
      <b/>
      <sz val="9"/>
      <color theme="1"/>
      <name val="Segoe UI"/>
      <family val="2"/>
    </font>
    <font>
      <b/>
      <sz val="10"/>
      <color theme="0"/>
      <name val="Segoe UI"/>
      <family val="2"/>
    </font>
    <font>
      <b/>
      <sz val="18"/>
      <color theme="1"/>
      <name val="Segoe UI"/>
      <family val="2"/>
    </font>
    <font>
      <b/>
      <sz val="18"/>
      <color rgb="FF3B6D11"/>
      <name val="Segoe UI"/>
      <family val="2"/>
    </font>
    <font>
      <b/>
      <sz val="9"/>
      <color rgb="FFA32D2D"/>
      <name val="Segoe UI"/>
      <family val="2"/>
    </font>
    <font>
      <b/>
      <sz val="18"/>
      <color rgb="FFA32D2D"/>
      <name val="Segoe UI"/>
      <family val="2"/>
    </font>
    <font>
      <b/>
      <sz val="9"/>
      <color theme="7" tint="-0.499984740745262"/>
      <name val="Segoe UI"/>
      <family val="2"/>
    </font>
    <font>
      <b/>
      <sz val="18"/>
      <color theme="7" tint="-0.499984740745262"/>
      <name val="Segoe UI"/>
      <family val="2"/>
    </font>
    <font>
      <b/>
      <sz val="9"/>
      <color rgb="FF3B6D11"/>
      <name val="Segoe UI"/>
      <family val="2"/>
    </font>
    <font>
      <b/>
      <sz val="9"/>
      <color rgb="FFC00000"/>
      <name val="Segoe UI"/>
      <family val="2"/>
    </font>
    <font>
      <b/>
      <sz val="9"/>
      <color theme="6" tint="-0.499984740745262"/>
      <name val="Segoe UI"/>
      <family val="2"/>
    </font>
    <font>
      <b/>
      <sz val="18"/>
      <color theme="6" tint="-0.499984740745262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1F2D4E"/>
        <bgColor indexed="64"/>
      </patternFill>
    </fill>
    <fill>
      <patternFill patternType="solid">
        <fgColor rgb="FFF4F8FC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1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0" fontId="4" fillId="0" borderId="0" xfId="0" applyFont="1"/>
    <xf numFmtId="164" fontId="3" fillId="0" borderId="0" xfId="0" applyNumberFormat="1" applyFont="1"/>
    <xf numFmtId="0" fontId="5" fillId="2" borderId="0" xfId="0" applyFont="1" applyFill="1" applyAlignment="1">
      <alignment horizontal="center" vertical="center"/>
    </xf>
    <xf numFmtId="0" fontId="3" fillId="0" borderId="0" xfId="0" applyFont="1" applyAlignment="1"/>
    <xf numFmtId="0" fontId="7" fillId="0" borderId="0" xfId="0" applyFont="1"/>
    <xf numFmtId="9" fontId="0" fillId="0" borderId="0" xfId="1" applyFont="1"/>
    <xf numFmtId="0" fontId="5" fillId="0" borderId="0" xfId="0" applyFont="1" applyFill="1" applyAlignment="1">
      <alignment vertical="center"/>
    </xf>
    <xf numFmtId="0" fontId="8" fillId="0" borderId="0" xfId="0" applyFont="1" applyAlignment="1"/>
    <xf numFmtId="0" fontId="6" fillId="0" borderId="0" xfId="0" applyFont="1"/>
    <xf numFmtId="10" fontId="6" fillId="0" borderId="0" xfId="1" applyNumberFormat="1" applyFont="1"/>
    <xf numFmtId="164" fontId="6" fillId="0" borderId="0" xfId="0" applyNumberFormat="1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9" fillId="2" borderId="0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0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12" fillId="3" borderId="2" xfId="0" applyFont="1" applyFill="1" applyBorder="1" applyAlignment="1">
      <alignment horizontal="center"/>
    </xf>
    <xf numFmtId="0" fontId="12" fillId="3" borderId="3" xfId="0" applyFont="1" applyFill="1" applyBorder="1" applyAlignment="1">
      <alignment horizontal="center"/>
    </xf>
    <xf numFmtId="0" fontId="12" fillId="3" borderId="4" xfId="0" applyFont="1" applyFill="1" applyBorder="1" applyAlignment="1">
      <alignment horizontal="center"/>
    </xf>
    <xf numFmtId="0" fontId="12" fillId="3" borderId="5" xfId="0" applyFont="1" applyFill="1" applyBorder="1" applyAlignment="1">
      <alignment horizontal="center"/>
    </xf>
    <xf numFmtId="0" fontId="12" fillId="3" borderId="0" xfId="0" applyFont="1" applyFill="1" applyBorder="1" applyAlignment="1">
      <alignment horizontal="center"/>
    </xf>
    <xf numFmtId="0" fontId="12" fillId="3" borderId="6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14" fillId="3" borderId="4" xfId="0" applyFont="1" applyFill="1" applyBorder="1" applyAlignment="1">
      <alignment horizontal="center"/>
    </xf>
    <xf numFmtId="0" fontId="14" fillId="3" borderId="5" xfId="0" applyFont="1" applyFill="1" applyBorder="1" applyAlignment="1">
      <alignment horizontal="center"/>
    </xf>
    <xf numFmtId="0" fontId="14" fillId="3" borderId="0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 vertical="top"/>
    </xf>
    <xf numFmtId="0" fontId="10" fillId="3" borderId="0" xfId="0" applyFont="1" applyFill="1" applyBorder="1" applyAlignment="1">
      <alignment horizontal="center" vertical="top"/>
    </xf>
    <xf numFmtId="0" fontId="10" fillId="3" borderId="6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0" fontId="10" fillId="3" borderId="5" xfId="1" applyNumberFormat="1" applyFont="1" applyFill="1" applyBorder="1" applyAlignment="1">
      <alignment horizontal="center" vertical="top"/>
    </xf>
    <xf numFmtId="10" fontId="10" fillId="3" borderId="0" xfId="1" applyNumberFormat="1" applyFont="1" applyFill="1" applyBorder="1" applyAlignment="1">
      <alignment horizontal="center" vertical="top"/>
    </xf>
    <xf numFmtId="10" fontId="10" fillId="3" borderId="6" xfId="1" applyNumberFormat="1" applyFont="1" applyFill="1" applyBorder="1" applyAlignment="1">
      <alignment horizontal="center" vertical="top"/>
    </xf>
    <xf numFmtId="0" fontId="10" fillId="3" borderId="7" xfId="0" applyFont="1" applyFill="1" applyBorder="1" applyAlignment="1">
      <alignment horizontal="center" vertical="top"/>
    </xf>
    <xf numFmtId="0" fontId="10" fillId="3" borderId="1" xfId="0" applyFont="1" applyFill="1" applyBorder="1" applyAlignment="1">
      <alignment horizontal="center" vertical="top"/>
    </xf>
    <xf numFmtId="0" fontId="10" fillId="3" borderId="8" xfId="0" applyFont="1" applyFill="1" applyBorder="1" applyAlignment="1">
      <alignment horizontal="center" vertical="top"/>
    </xf>
    <xf numFmtId="10" fontId="10" fillId="3" borderId="7" xfId="1" applyNumberFormat="1" applyFont="1" applyFill="1" applyBorder="1" applyAlignment="1">
      <alignment horizontal="center" vertical="top"/>
    </xf>
    <xf numFmtId="10" fontId="10" fillId="3" borderId="1" xfId="1" applyNumberFormat="1" applyFont="1" applyFill="1" applyBorder="1" applyAlignment="1">
      <alignment horizontal="center" vertical="top"/>
    </xf>
    <xf numFmtId="10" fontId="10" fillId="3" borderId="8" xfId="1" applyNumberFormat="1" applyFont="1" applyFill="1" applyBorder="1" applyAlignment="1">
      <alignment horizontal="center" vertical="top"/>
    </xf>
    <xf numFmtId="0" fontId="3" fillId="0" borderId="0" xfId="0" applyFont="1" applyFill="1"/>
    <xf numFmtId="0" fontId="6" fillId="0" borderId="0" xfId="0" applyFont="1" applyFill="1"/>
    <xf numFmtId="0" fontId="15" fillId="3" borderId="5" xfId="0" applyFont="1" applyFill="1" applyBorder="1" applyAlignment="1">
      <alignment horizontal="center" vertical="top"/>
    </xf>
    <xf numFmtId="0" fontId="15" fillId="3" borderId="0" xfId="0" applyFont="1" applyFill="1" applyBorder="1" applyAlignment="1">
      <alignment horizontal="center" vertical="top"/>
    </xf>
    <xf numFmtId="0" fontId="15" fillId="3" borderId="6" xfId="0" applyFont="1" applyFill="1" applyBorder="1" applyAlignment="1">
      <alignment horizontal="center" vertical="top"/>
    </xf>
    <xf numFmtId="0" fontId="15" fillId="0" borderId="0" xfId="0" applyFont="1" applyAlignment="1">
      <alignment vertical="top"/>
    </xf>
    <xf numFmtId="0" fontId="15" fillId="3" borderId="7" xfId="0" applyFont="1" applyFill="1" applyBorder="1" applyAlignment="1">
      <alignment horizontal="center" vertical="top"/>
    </xf>
    <xf numFmtId="0" fontId="15" fillId="3" borderId="1" xfId="0" applyFont="1" applyFill="1" applyBorder="1" applyAlignment="1">
      <alignment horizontal="center" vertical="top"/>
    </xf>
    <xf numFmtId="0" fontId="15" fillId="3" borderId="8" xfId="0" applyFont="1" applyFill="1" applyBorder="1" applyAlignment="1">
      <alignment horizontal="center" vertical="top"/>
    </xf>
    <xf numFmtId="0" fontId="11" fillId="3" borderId="5" xfId="0" applyFont="1" applyFill="1" applyBorder="1" applyAlignment="1">
      <alignment horizontal="center" vertical="top"/>
    </xf>
    <xf numFmtId="0" fontId="11" fillId="3" borderId="0" xfId="0" applyFont="1" applyFill="1" applyBorder="1" applyAlignment="1">
      <alignment horizontal="center" vertical="top"/>
    </xf>
    <xf numFmtId="0" fontId="11" fillId="3" borderId="6" xfId="0" applyFont="1" applyFill="1" applyBorder="1" applyAlignment="1">
      <alignment horizontal="center" vertical="top"/>
    </xf>
    <xf numFmtId="0" fontId="11" fillId="3" borderId="7" xfId="0" applyFont="1" applyFill="1" applyBorder="1" applyAlignment="1">
      <alignment horizontal="center" vertical="top"/>
    </xf>
    <xf numFmtId="0" fontId="11" fillId="3" borderId="1" xfId="0" applyFont="1" applyFill="1" applyBorder="1" applyAlignment="1">
      <alignment horizontal="center" vertical="top"/>
    </xf>
    <xf numFmtId="0" fontId="11" fillId="3" borderId="8" xfId="0" applyFont="1" applyFill="1" applyBorder="1" applyAlignment="1">
      <alignment horizontal="center" vertical="top"/>
    </xf>
    <xf numFmtId="0" fontId="13" fillId="3" borderId="5" xfId="0" applyFont="1" applyFill="1" applyBorder="1" applyAlignment="1">
      <alignment horizontal="center" vertical="top"/>
    </xf>
    <xf numFmtId="0" fontId="13" fillId="3" borderId="0" xfId="0" applyFont="1" applyFill="1" applyBorder="1" applyAlignment="1">
      <alignment horizontal="center" vertical="top"/>
    </xf>
    <xf numFmtId="0" fontId="13" fillId="3" borderId="6" xfId="0" applyFont="1" applyFill="1" applyBorder="1" applyAlignment="1">
      <alignment horizontal="center" vertical="top"/>
    </xf>
    <xf numFmtId="0" fontId="13" fillId="3" borderId="7" xfId="0" applyFont="1" applyFill="1" applyBorder="1" applyAlignment="1">
      <alignment horizontal="center" vertical="top"/>
    </xf>
    <xf numFmtId="0" fontId="13" fillId="3" borderId="1" xfId="0" applyFont="1" applyFill="1" applyBorder="1" applyAlignment="1">
      <alignment horizontal="center" vertical="top"/>
    </xf>
    <xf numFmtId="0" fontId="13" fillId="3" borderId="8" xfId="0" applyFont="1" applyFill="1" applyBorder="1" applyAlignment="1">
      <alignment horizontal="center" vertical="top"/>
    </xf>
    <xf numFmtId="0" fontId="16" fillId="3" borderId="2" xfId="0" applyFont="1" applyFill="1" applyBorder="1" applyAlignment="1">
      <alignment horizontal="center"/>
    </xf>
    <xf numFmtId="0" fontId="16" fillId="3" borderId="3" xfId="0" applyFont="1" applyFill="1" applyBorder="1" applyAlignment="1">
      <alignment horizontal="center"/>
    </xf>
    <xf numFmtId="0" fontId="16" fillId="3" borderId="4" xfId="0" applyFont="1" applyFill="1" applyBorder="1" applyAlignment="1">
      <alignment horizontal="center"/>
    </xf>
    <xf numFmtId="0" fontId="17" fillId="0" borderId="0" xfId="0" applyFont="1" applyAlignment="1"/>
    <xf numFmtId="0" fontId="14" fillId="0" borderId="0" xfId="0" applyFont="1" applyAlignment="1"/>
    <xf numFmtId="0" fontId="16" fillId="3" borderId="5" xfId="0" applyFont="1" applyFill="1" applyBorder="1" applyAlignment="1">
      <alignment horizontal="center"/>
    </xf>
    <xf numFmtId="0" fontId="16" fillId="3" borderId="0" xfId="0" applyFont="1" applyFill="1" applyBorder="1" applyAlignment="1">
      <alignment horizontal="center"/>
    </xf>
    <xf numFmtId="0" fontId="16" fillId="3" borderId="6" xfId="0" applyFont="1" applyFill="1" applyBorder="1" applyAlignment="1">
      <alignment horizontal="center"/>
    </xf>
    <xf numFmtId="0" fontId="18" fillId="3" borderId="2" xfId="0" applyFont="1" applyFill="1" applyBorder="1" applyAlignment="1">
      <alignment horizontal="center"/>
    </xf>
    <xf numFmtId="0" fontId="18" fillId="3" borderId="3" xfId="0" applyFont="1" applyFill="1" applyBorder="1" applyAlignment="1">
      <alignment horizontal="center"/>
    </xf>
    <xf numFmtId="0" fontId="18" fillId="3" borderId="4" xfId="0" applyFont="1" applyFill="1" applyBorder="1" applyAlignment="1">
      <alignment horizontal="center"/>
    </xf>
    <xf numFmtId="0" fontId="18" fillId="3" borderId="5" xfId="0" applyFont="1" applyFill="1" applyBorder="1" applyAlignment="1">
      <alignment horizontal="center"/>
    </xf>
    <xf numFmtId="0" fontId="18" fillId="3" borderId="0" xfId="0" applyFont="1" applyFill="1" applyBorder="1" applyAlignment="1">
      <alignment horizontal="center"/>
    </xf>
    <xf numFmtId="0" fontId="18" fillId="3" borderId="6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center" vertical="top"/>
    </xf>
    <xf numFmtId="0" fontId="19" fillId="3" borderId="0" xfId="0" applyFont="1" applyFill="1" applyBorder="1" applyAlignment="1">
      <alignment horizontal="center" vertical="top"/>
    </xf>
    <xf numFmtId="0" fontId="19" fillId="3" borderId="6" xfId="0" applyFont="1" applyFill="1" applyBorder="1" applyAlignment="1">
      <alignment horizontal="center" vertical="top"/>
    </xf>
    <xf numFmtId="0" fontId="19" fillId="3" borderId="7" xfId="0" applyFont="1" applyFill="1" applyBorder="1" applyAlignment="1">
      <alignment horizontal="center" vertical="top"/>
    </xf>
    <xf numFmtId="0" fontId="19" fillId="3" borderId="1" xfId="0" applyFont="1" applyFill="1" applyBorder="1" applyAlignment="1">
      <alignment horizontal="center" vertical="top"/>
    </xf>
    <xf numFmtId="0" fontId="19" fillId="3" borderId="8" xfId="0" applyFont="1" applyFill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24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5"/>
      </font>
    </dxf>
    <dxf>
      <font>
        <color theme="7"/>
      </font>
    </dxf>
    <dxf>
      <font>
        <color rgb="FF9C0006"/>
      </font>
    </dxf>
    <dxf>
      <font>
        <color theme="5"/>
      </font>
    </dxf>
    <dxf>
      <font>
        <color theme="7"/>
      </font>
    </dxf>
    <dxf>
      <font>
        <color rgb="FF9C0006"/>
      </font>
    </dxf>
    <dxf>
      <font>
        <color theme="7"/>
      </font>
    </dxf>
    <dxf>
      <font>
        <color rgb="FF9C0006"/>
      </font>
    </dxf>
    <dxf>
      <font>
        <color rgb="FF9C0006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</dxf>
  </dxfs>
  <tableStyles count="0" defaultTableStyle="TableStyleMedium2" defaultPivotStyle="PivotStyleLight16"/>
  <colors>
    <mruColors>
      <color rgb="FFA32D2D"/>
      <color rgb="FF3B6D11"/>
      <color rgb="FFFF9900"/>
      <color rgb="FFF4F8FC"/>
      <color rgb="FF1F2D4E"/>
      <color rgb="FF888780"/>
      <color rgb="FFF1EFE8"/>
      <color rgb="FFFAEEDA"/>
      <color rgb="FFFCEBEB"/>
      <color rgb="FFEAF3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050"/>
              <a:t>Exceptions by Asset Class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Helper!$B$8</c:f>
              <c:strCache>
                <c:ptCount val="1"/>
                <c:pt idx="0">
                  <c:v>Exception Count</c:v>
                </c:pt>
              </c:strCache>
            </c:strRef>
          </c:tx>
          <c:spPr>
            <a:solidFill>
              <a:srgbClr val="1F2D4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Helper!$A$9:$A$13</c:f>
              <c:strCache>
                <c:ptCount val="5"/>
                <c:pt idx="0">
                  <c:v>Public Equity</c:v>
                </c:pt>
                <c:pt idx="1">
                  <c:v>Private Equity</c:v>
                </c:pt>
                <c:pt idx="2">
                  <c:v>Fixed Income</c:v>
                </c:pt>
                <c:pt idx="3">
                  <c:v>Real Assets</c:v>
                </c:pt>
                <c:pt idx="4">
                  <c:v>Hedge Fund</c:v>
                </c:pt>
              </c:strCache>
            </c:strRef>
          </c:cat>
          <c:val>
            <c:numRef>
              <c:f>Helper!$B$9:$B$13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4A-4937-BC2C-29B21E1CFA1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17654896"/>
        <c:axId val="417650216"/>
      </c:barChart>
      <c:catAx>
        <c:axId val="417654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417650216"/>
        <c:crosses val="autoZero"/>
        <c:auto val="1"/>
        <c:lblAlgn val="ctr"/>
        <c:lblOffset val="100"/>
        <c:noMultiLvlLbl val="0"/>
      </c:catAx>
      <c:valAx>
        <c:axId val="41765021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417654896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Segoe UI" panose="020B0502040204020203" pitchFamily="34" charset="0"/>
          <a:cs typeface="Segoe UI" panose="020B0502040204020203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000">
                <a:latin typeface="Segoe UI" panose="020B0502040204020203" pitchFamily="34" charset="0"/>
                <a:cs typeface="Segoe UI" panose="020B0502040204020203" pitchFamily="34" charset="0"/>
              </a:rPr>
              <a:t>Reconciliation Status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solidFill>
              <a:schemeClr val="accent5">
                <a:lumMod val="75000"/>
              </a:schemeClr>
            </a:solidFill>
          </c:spPr>
          <c:dPt>
            <c:idx val="0"/>
            <c:bubble3D val="0"/>
            <c:spPr>
              <a:solidFill>
                <a:srgbClr val="1F2D4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2DB-42A1-A560-C92E27DE6B58}"/>
              </c:ext>
            </c:extLst>
          </c:dPt>
          <c:dPt>
            <c:idx val="1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2DB-42A1-A560-C92E27DE6B58}"/>
              </c:ext>
            </c:extLst>
          </c:dPt>
          <c:dPt>
            <c:idx val="2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2DB-42A1-A560-C92E27DE6B58}"/>
              </c:ext>
            </c:extLst>
          </c:dPt>
          <c:dPt>
            <c:idx val="3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2DB-42A1-A560-C92E27DE6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non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Helper!$A$2:$A$5</c:f>
              <c:strCache>
                <c:ptCount val="4"/>
                <c:pt idx="0">
                  <c:v>Total Matches</c:v>
                </c:pt>
                <c:pt idx="1">
                  <c:v>Total Breaks</c:v>
                </c:pt>
                <c:pt idx="2">
                  <c:v>Missing Data</c:v>
                </c:pt>
                <c:pt idx="3">
                  <c:v>Stale Dates</c:v>
                </c:pt>
              </c:strCache>
            </c:strRef>
          </c:cat>
          <c:val>
            <c:numRef>
              <c:f>Helper!$B$2:$B$5</c:f>
              <c:numCache>
                <c:formatCode>General</c:formatCode>
                <c:ptCount val="4"/>
                <c:pt idx="0">
                  <c:v>6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DB-42A1-A560-C92E27DE6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10</xdr:row>
      <xdr:rowOff>0</xdr:rowOff>
    </xdr:from>
    <xdr:to>
      <xdr:col>21</xdr:col>
      <xdr:colOff>1</xdr:colOff>
      <xdr:row>20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D8DA62-4BBB-0ACD-CCE6-BFC11A82E8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0</xdr:colOff>
      <xdr:row>10</xdr:row>
      <xdr:rowOff>0</xdr:rowOff>
    </xdr:from>
    <xdr:to>
      <xdr:col>42</xdr:col>
      <xdr:colOff>0</xdr:colOff>
      <xdr:row>20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3B6853-71C6-4547-9098-98B41F37B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713B934-1C2B-4DF9-A4E7-25F1B3EB2C3D}" autoFormatId="16" applyNumberFormats="0" applyBorderFormats="0" applyFontFormats="0" applyPatternFormats="0" applyAlignmentFormats="0" applyWidthHeightFormats="0">
  <queryTableRefresh nextId="14">
    <queryTableFields count="11">
      <queryTableField id="1" name="Fund ID" tableColumnId="1"/>
      <queryTableField id="2" name="Fund Name" tableColumnId="2"/>
      <queryTableField id="3" name="Asset Class" tableColumnId="3"/>
      <queryTableField id="4" name="Custodian Market Value" tableColumnId="4"/>
      <queryTableField id="5" name="Custodian Report Date" tableColumnId="5"/>
      <queryTableField id="6" name="Statement Market Value" tableColumnId="6"/>
      <queryTableField id="7" name="Statememnt Report Date" tableColumnId="7"/>
      <queryTableField id="8" name="Difference ($)" tableColumnId="8"/>
      <queryTableField id="9" name="Difference (%)" tableColumnId="9"/>
      <queryTableField id="12" name="Status" tableColumnId="10"/>
      <queryTableField id="11" name="Issue Type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F082A-EB9F-48D9-B5FC-859B5DFB74AB}" name="Reconciliation" displayName="Reconciliation" ref="A1:K11" tableType="queryTable" totalsRowShown="0" headerRowDxfId="23">
  <autoFilter ref="A1:K11" xr:uid="{27DF082A-EB9F-48D9-B5FC-859B5DFB74AB}"/>
  <tableColumns count="11">
    <tableColumn id="1" xr3:uid="{DABA9359-B81E-4CC7-9CD0-11A733321E9E}" uniqueName="1" name="Fund ID" queryTableFieldId="1" dataDxfId="22"/>
    <tableColumn id="2" xr3:uid="{84A93B77-8E17-436F-B764-FA6B8C0BCF33}" uniqueName="2" name="Fund Name" queryTableFieldId="2" dataDxfId="21"/>
    <tableColumn id="3" xr3:uid="{0AA2ADD2-1F88-421C-96A4-AFBC6806EDAB}" uniqueName="3" name="Asset Class" queryTableFieldId="3" dataDxfId="20"/>
    <tableColumn id="4" xr3:uid="{549656F2-A49C-4EF6-9694-4013B6474E52}" uniqueName="4" name="Custodian Market Value" queryTableFieldId="4"/>
    <tableColumn id="5" xr3:uid="{D075F688-B784-4AA8-A1A7-EBF09B5DC8B5}" uniqueName="5" name="Custodian Report Date" queryTableFieldId="5" dataDxfId="19"/>
    <tableColumn id="6" xr3:uid="{4CF9E3C1-2B58-4DB0-AD49-BA2BEC81EAA2}" uniqueName="6" name="Statement Market Value" queryTableFieldId="6" dataDxfId="18"/>
    <tableColumn id="7" xr3:uid="{D1A427B3-AB28-4F86-8C5C-B32B8A9297D4}" uniqueName="7" name="Statememnt Report Date" queryTableFieldId="7" dataDxfId="17"/>
    <tableColumn id="8" xr3:uid="{8D0A0179-A009-4CF9-A491-2AFE4A9B0A23}" uniqueName="8" name="Difference ($)" queryTableFieldId="8" dataDxfId="16"/>
    <tableColumn id="9" xr3:uid="{BF7B0515-D1B8-49EF-81F9-65774A212195}" uniqueName="9" name="Difference (%)" queryTableFieldId="9" dataDxfId="15"/>
    <tableColumn id="10" xr3:uid="{065BBE48-BD9E-462E-A9A2-ABB8A394EB4D}" uniqueName="10" name="Status" queryTableFieldId="12" dataDxfId="14"/>
    <tableColumn id="11" xr3:uid="{EC8900C0-F1BD-466B-9A2F-8A2A27D1E372}" uniqueName="11" name="Issue Type" queryTableFieldId="11" dataDxfId="1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1FC7F-AF7E-44EC-9A13-E57257A0B0DE}">
  <dimension ref="A1:K11"/>
  <sheetViews>
    <sheetView topLeftCell="D1" workbookViewId="0">
      <selection activeCell="M8" sqref="M8"/>
    </sheetView>
  </sheetViews>
  <sheetFormatPr defaultRowHeight="15" x14ac:dyDescent="0.25"/>
  <cols>
    <col min="1" max="1" width="10" bestFit="1" customWidth="1"/>
    <col min="2" max="2" width="23.28515625" bestFit="1" customWidth="1"/>
    <col min="3" max="3" width="13.42578125" bestFit="1" customWidth="1"/>
    <col min="4" max="4" width="25" bestFit="1" customWidth="1"/>
    <col min="5" max="5" width="23.42578125" bestFit="1" customWidth="1"/>
    <col min="6" max="6" width="25.42578125" bestFit="1" customWidth="1"/>
    <col min="7" max="7" width="25.7109375" bestFit="1" customWidth="1"/>
    <col min="8" max="8" width="15.7109375" bestFit="1" customWidth="1"/>
    <col min="9" max="9" width="16.28515625" bestFit="1" customWidth="1"/>
    <col min="10" max="10" width="14" bestFit="1" customWidth="1"/>
    <col min="11" max="12" width="14.140625" bestFit="1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48</v>
      </c>
      <c r="K1" s="2" t="s">
        <v>9</v>
      </c>
    </row>
    <row r="2" spans="1:11" x14ac:dyDescent="0.25">
      <c r="A2" t="s">
        <v>10</v>
      </c>
      <c r="B2" t="s">
        <v>11</v>
      </c>
      <c r="C2" t="s">
        <v>12</v>
      </c>
      <c r="D2">
        <v>5200000</v>
      </c>
      <c r="E2" s="1">
        <v>45382</v>
      </c>
      <c r="F2">
        <v>5200000</v>
      </c>
      <c r="G2" s="1">
        <v>45382</v>
      </c>
      <c r="H2">
        <v>0</v>
      </c>
      <c r="I2">
        <v>0</v>
      </c>
      <c r="J2" t="s">
        <v>13</v>
      </c>
      <c r="K2" t="s">
        <v>14</v>
      </c>
    </row>
    <row r="3" spans="1:11" x14ac:dyDescent="0.25">
      <c r="A3" t="s">
        <v>15</v>
      </c>
      <c r="B3" t="s">
        <v>16</v>
      </c>
      <c r="C3" t="s">
        <v>17</v>
      </c>
      <c r="D3">
        <v>12750000</v>
      </c>
      <c r="E3" s="1">
        <v>45382</v>
      </c>
      <c r="F3">
        <v>12900000</v>
      </c>
      <c r="G3" s="1">
        <v>45382</v>
      </c>
      <c r="H3">
        <v>-150000</v>
      </c>
      <c r="I3">
        <v>1.1764705882352941E-2</v>
      </c>
      <c r="J3" t="s">
        <v>18</v>
      </c>
      <c r="K3" t="s">
        <v>19</v>
      </c>
    </row>
    <row r="4" spans="1:11" x14ac:dyDescent="0.25">
      <c r="A4" t="s">
        <v>20</v>
      </c>
      <c r="B4" t="s">
        <v>21</v>
      </c>
      <c r="C4" t="s">
        <v>22</v>
      </c>
      <c r="D4">
        <v>3100000</v>
      </c>
      <c r="E4" s="1">
        <v>45382</v>
      </c>
      <c r="F4">
        <v>3100000</v>
      </c>
      <c r="G4" s="1">
        <v>45382</v>
      </c>
      <c r="H4">
        <v>0</v>
      </c>
      <c r="I4">
        <v>0</v>
      </c>
      <c r="J4" t="s">
        <v>13</v>
      </c>
      <c r="K4" t="s">
        <v>14</v>
      </c>
    </row>
    <row r="5" spans="1:11" x14ac:dyDescent="0.25">
      <c r="A5" t="s">
        <v>23</v>
      </c>
      <c r="B5" t="s">
        <v>24</v>
      </c>
      <c r="C5" t="s">
        <v>25</v>
      </c>
      <c r="D5">
        <v>8400000</v>
      </c>
      <c r="E5" s="1">
        <v>45382</v>
      </c>
      <c r="F5">
        <v>8400000</v>
      </c>
      <c r="G5" s="1">
        <v>45382</v>
      </c>
      <c r="H5">
        <v>0</v>
      </c>
      <c r="I5">
        <v>0</v>
      </c>
      <c r="J5" t="s">
        <v>13</v>
      </c>
      <c r="K5" t="s">
        <v>14</v>
      </c>
    </row>
    <row r="6" spans="1:11" x14ac:dyDescent="0.25">
      <c r="A6" t="s">
        <v>26</v>
      </c>
      <c r="B6" t="s">
        <v>27</v>
      </c>
      <c r="C6" t="s">
        <v>28</v>
      </c>
      <c r="D6">
        <v>6600000</v>
      </c>
      <c r="E6" s="1">
        <v>45382</v>
      </c>
      <c r="F6">
        <v>6600000</v>
      </c>
      <c r="G6" s="1">
        <v>45351</v>
      </c>
      <c r="H6">
        <v>0</v>
      </c>
      <c r="I6">
        <v>0</v>
      </c>
      <c r="J6" t="s">
        <v>29</v>
      </c>
      <c r="K6" t="s">
        <v>30</v>
      </c>
    </row>
    <row r="7" spans="1:11" x14ac:dyDescent="0.25">
      <c r="A7" t="s">
        <v>31</v>
      </c>
      <c r="B7" t="s">
        <v>32</v>
      </c>
      <c r="C7" t="s">
        <v>17</v>
      </c>
      <c r="D7">
        <v>9800000</v>
      </c>
      <c r="E7" s="1">
        <v>45382</v>
      </c>
      <c r="F7">
        <v>9800000</v>
      </c>
      <c r="G7" s="1">
        <v>45382</v>
      </c>
      <c r="H7">
        <v>0</v>
      </c>
      <c r="I7">
        <v>0</v>
      </c>
      <c r="J7" t="s">
        <v>13</v>
      </c>
      <c r="K7" t="s">
        <v>14</v>
      </c>
    </row>
    <row r="8" spans="1:11" x14ac:dyDescent="0.25">
      <c r="A8" t="s">
        <v>33</v>
      </c>
      <c r="B8" t="s">
        <v>34</v>
      </c>
      <c r="C8" t="s">
        <v>22</v>
      </c>
      <c r="D8">
        <v>4250000</v>
      </c>
      <c r="E8" s="1">
        <v>45382</v>
      </c>
      <c r="G8" s="1">
        <v>45382</v>
      </c>
      <c r="J8" t="s">
        <v>35</v>
      </c>
      <c r="K8" t="s">
        <v>36</v>
      </c>
    </row>
    <row r="9" spans="1:11" x14ac:dyDescent="0.25">
      <c r="A9" t="s">
        <v>37</v>
      </c>
      <c r="B9" t="s">
        <v>38</v>
      </c>
      <c r="C9" t="s">
        <v>17</v>
      </c>
      <c r="D9">
        <v>2100000</v>
      </c>
      <c r="E9" s="1">
        <v>45382</v>
      </c>
      <c r="F9">
        <v>2100000</v>
      </c>
      <c r="G9" s="1">
        <v>45382</v>
      </c>
      <c r="H9">
        <v>0</v>
      </c>
      <c r="I9">
        <v>0</v>
      </c>
      <c r="J9" t="s">
        <v>13</v>
      </c>
      <c r="K9" t="s">
        <v>14</v>
      </c>
    </row>
    <row r="10" spans="1:11" x14ac:dyDescent="0.25">
      <c r="A10" t="s">
        <v>39</v>
      </c>
      <c r="B10" t="s">
        <v>40</v>
      </c>
      <c r="C10" t="s">
        <v>25</v>
      </c>
      <c r="D10">
        <v>3750000</v>
      </c>
      <c r="E10" s="1">
        <v>45382</v>
      </c>
      <c r="F10">
        <v>3712500</v>
      </c>
      <c r="G10" s="1">
        <v>45382</v>
      </c>
      <c r="H10">
        <v>37500</v>
      </c>
      <c r="I10">
        <v>0.01</v>
      </c>
      <c r="J10" t="s">
        <v>18</v>
      </c>
      <c r="K10" t="s">
        <v>19</v>
      </c>
    </row>
    <row r="11" spans="1:11" x14ac:dyDescent="0.25">
      <c r="A11" t="s">
        <v>41</v>
      </c>
      <c r="B11" t="s">
        <v>42</v>
      </c>
      <c r="C11" t="s">
        <v>28</v>
      </c>
      <c r="D11">
        <v>7300000</v>
      </c>
      <c r="E11" s="1">
        <v>45382</v>
      </c>
      <c r="F11">
        <v>7300000</v>
      </c>
      <c r="G11" s="1">
        <v>45382</v>
      </c>
      <c r="H11">
        <v>0</v>
      </c>
      <c r="I11">
        <v>0</v>
      </c>
      <c r="J11" t="s">
        <v>13</v>
      </c>
      <c r="K11" t="s">
        <v>14</v>
      </c>
    </row>
  </sheetData>
  <conditionalFormatting sqref="J1:J1048576">
    <cfRule type="containsText" dxfId="3" priority="1" operator="containsText" text="STALE DATE">
      <formula>NOT(ISERROR(SEARCH("STALE DATE",J1)))</formula>
    </cfRule>
    <cfRule type="containsText" dxfId="2" priority="2" operator="containsText" text="MISSING DATA">
      <formula>NOT(ISERROR(SEARCH("MISSING DATA",J1)))</formula>
    </cfRule>
    <cfRule type="containsText" dxfId="1" priority="3" operator="containsText" text="BREAK">
      <formula>NOT(ISERROR(SEARCH("BREAK",J1)))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H40"/>
  <sheetViews>
    <sheetView showGridLines="0" tabSelected="1" zoomScaleNormal="100" workbookViewId="0">
      <selection activeCell="BJ21" sqref="BJ21"/>
    </sheetView>
  </sheetViews>
  <sheetFormatPr defaultColWidth="2.7109375" defaultRowHeight="14.25" x14ac:dyDescent="0.25"/>
  <cols>
    <col min="1" max="3" width="2.7109375" style="3"/>
    <col min="4" max="4" width="2.7109375" style="3" customWidth="1"/>
    <col min="5" max="5" width="2.7109375" style="3"/>
    <col min="6" max="6" width="2.7109375" style="3" customWidth="1"/>
    <col min="7" max="7" width="2.7109375" style="3"/>
    <col min="8" max="8" width="2.7109375" style="3" customWidth="1"/>
    <col min="9" max="9" width="2.7109375" style="3"/>
    <col min="10" max="10" width="2.7109375" style="3" customWidth="1"/>
    <col min="11" max="11" width="2.7109375" style="3"/>
    <col min="12" max="12" width="2.7109375" style="3" customWidth="1"/>
    <col min="13" max="13" width="2.7109375" style="3"/>
    <col min="14" max="14" width="2.7109375" style="3" customWidth="1"/>
    <col min="15" max="16384" width="2.7109375" style="3"/>
  </cols>
  <sheetData>
    <row r="2" spans="2:60" ht="14.25" customHeight="1" x14ac:dyDescent="0.25">
      <c r="B2" s="8" t="s">
        <v>54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12"/>
      <c r="AR2" s="12"/>
      <c r="AS2" s="12"/>
      <c r="AT2" s="12"/>
      <c r="AU2" s="12"/>
      <c r="AV2" s="12"/>
      <c r="AW2" s="12"/>
      <c r="AX2" s="12"/>
      <c r="AY2" s="12"/>
      <c r="AZ2" s="12"/>
    </row>
    <row r="3" spans="2:60" ht="14.25" customHeight="1" x14ac:dyDescent="0.25"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12"/>
      <c r="AR3" s="12"/>
      <c r="AS3" s="12"/>
      <c r="AT3" s="12"/>
      <c r="AU3" s="12"/>
      <c r="AV3" s="12"/>
      <c r="AW3" s="12"/>
      <c r="AX3" s="12"/>
      <c r="AY3" s="12"/>
      <c r="AZ3" s="12"/>
    </row>
    <row r="5" spans="2:60" ht="6.95" customHeight="1" x14ac:dyDescent="0.25">
      <c r="B5" s="19" t="s">
        <v>53</v>
      </c>
      <c r="C5" s="20"/>
      <c r="D5" s="20"/>
      <c r="E5" s="20"/>
      <c r="F5" s="20"/>
      <c r="G5" s="21"/>
      <c r="H5" s="13"/>
      <c r="I5" s="71" t="s">
        <v>43</v>
      </c>
      <c r="J5" s="72"/>
      <c r="K5" s="72"/>
      <c r="L5" s="72"/>
      <c r="M5" s="72"/>
      <c r="N5" s="73"/>
      <c r="O5" s="13"/>
      <c r="P5" s="25" t="s">
        <v>44</v>
      </c>
      <c r="Q5" s="26"/>
      <c r="R5" s="26"/>
      <c r="S5" s="26"/>
      <c r="T5" s="26"/>
      <c r="U5" s="27"/>
      <c r="V5" s="74"/>
      <c r="W5" s="31" t="s">
        <v>45</v>
      </c>
      <c r="X5" s="32"/>
      <c r="Y5" s="32"/>
      <c r="Z5" s="32"/>
      <c r="AA5" s="32"/>
      <c r="AB5" s="33"/>
      <c r="AC5" s="75"/>
      <c r="AD5" s="79" t="s">
        <v>46</v>
      </c>
      <c r="AE5" s="80"/>
      <c r="AF5" s="80"/>
      <c r="AG5" s="80"/>
      <c r="AH5" s="80"/>
      <c r="AI5" s="81"/>
      <c r="AJ5" s="13"/>
      <c r="AK5" s="19" t="s">
        <v>47</v>
      </c>
      <c r="AL5" s="20"/>
      <c r="AM5" s="20"/>
      <c r="AN5" s="20"/>
      <c r="AO5" s="20"/>
      <c r="AP5" s="21"/>
    </row>
    <row r="6" spans="2:60" x14ac:dyDescent="0.25">
      <c r="B6" s="22"/>
      <c r="C6" s="23"/>
      <c r="D6" s="23"/>
      <c r="E6" s="23"/>
      <c r="F6" s="23"/>
      <c r="G6" s="24"/>
      <c r="H6" s="13"/>
      <c r="I6" s="76"/>
      <c r="J6" s="77"/>
      <c r="K6" s="77"/>
      <c r="L6" s="77"/>
      <c r="M6" s="77"/>
      <c r="N6" s="78"/>
      <c r="O6" s="13"/>
      <c r="P6" s="28"/>
      <c r="Q6" s="29"/>
      <c r="R6" s="29"/>
      <c r="S6" s="29"/>
      <c r="T6" s="29"/>
      <c r="U6" s="30"/>
      <c r="V6" s="74"/>
      <c r="W6" s="34"/>
      <c r="X6" s="35"/>
      <c r="Y6" s="35"/>
      <c r="Z6" s="35"/>
      <c r="AA6" s="35"/>
      <c r="AB6" s="36"/>
      <c r="AC6" s="75"/>
      <c r="AD6" s="82"/>
      <c r="AE6" s="83"/>
      <c r="AF6" s="83"/>
      <c r="AG6" s="83"/>
      <c r="AH6" s="83"/>
      <c r="AI6" s="84"/>
      <c r="AJ6" s="13"/>
      <c r="AK6" s="22"/>
      <c r="AL6" s="23"/>
      <c r="AM6" s="23"/>
      <c r="AN6" s="23"/>
      <c r="AO6" s="23"/>
      <c r="AP6" s="24"/>
    </row>
    <row r="7" spans="2:60" ht="14.25" customHeight="1" x14ac:dyDescent="0.25">
      <c r="B7" s="37">
        <f>COUNTA(Reconciliation[Fund ID])</f>
        <v>10</v>
      </c>
      <c r="C7" s="38"/>
      <c r="D7" s="38"/>
      <c r="E7" s="38"/>
      <c r="F7" s="38"/>
      <c r="G7" s="39"/>
      <c r="H7" s="40"/>
      <c r="I7" s="59">
        <f>COUNTIF(Reconciliation[Status],"MATCH")</f>
        <v>6</v>
      </c>
      <c r="J7" s="60"/>
      <c r="K7" s="60"/>
      <c r="L7" s="60"/>
      <c r="M7" s="60"/>
      <c r="N7" s="61"/>
      <c r="O7" s="40"/>
      <c r="P7" s="65">
        <f>COUNTIF(Reconciliation[Status], "BREAK")</f>
        <v>2</v>
      </c>
      <c r="Q7" s="66"/>
      <c r="R7" s="66"/>
      <c r="S7" s="66"/>
      <c r="T7" s="66"/>
      <c r="U7" s="67"/>
      <c r="V7" s="40"/>
      <c r="W7" s="52">
        <f>COUNTIF(Reconciliation[Status],"MISSING DATA")</f>
        <v>1</v>
      </c>
      <c r="X7" s="53"/>
      <c r="Y7" s="53"/>
      <c r="Z7" s="53"/>
      <c r="AA7" s="53"/>
      <c r="AB7" s="54"/>
      <c r="AC7" s="55"/>
      <c r="AD7" s="85">
        <f>COUNTIF(Reconciliation[Status], "STALE DATE")</f>
        <v>1</v>
      </c>
      <c r="AE7" s="86"/>
      <c r="AF7" s="86"/>
      <c r="AG7" s="86"/>
      <c r="AH7" s="86"/>
      <c r="AI7" s="87"/>
      <c r="AJ7" s="40"/>
      <c r="AK7" s="41">
        <f>$I$7/$B$7</f>
        <v>0.6</v>
      </c>
      <c r="AL7" s="42"/>
      <c r="AM7" s="42"/>
      <c r="AN7" s="42"/>
      <c r="AO7" s="42"/>
      <c r="AP7" s="43"/>
    </row>
    <row r="8" spans="2:60" ht="14.25" customHeight="1" x14ac:dyDescent="0.25">
      <c r="B8" s="44"/>
      <c r="C8" s="45"/>
      <c r="D8" s="45"/>
      <c r="E8" s="45"/>
      <c r="F8" s="45"/>
      <c r="G8" s="46"/>
      <c r="H8" s="40"/>
      <c r="I8" s="62"/>
      <c r="J8" s="63"/>
      <c r="K8" s="63"/>
      <c r="L8" s="63"/>
      <c r="M8" s="63"/>
      <c r="N8" s="64"/>
      <c r="O8" s="40"/>
      <c r="P8" s="68"/>
      <c r="Q8" s="69"/>
      <c r="R8" s="69"/>
      <c r="S8" s="69"/>
      <c r="T8" s="69"/>
      <c r="U8" s="70"/>
      <c r="V8" s="40"/>
      <c r="W8" s="56"/>
      <c r="X8" s="57"/>
      <c r="Y8" s="57"/>
      <c r="Z8" s="57"/>
      <c r="AA8" s="57"/>
      <c r="AB8" s="58"/>
      <c r="AC8" s="55"/>
      <c r="AD8" s="88"/>
      <c r="AE8" s="89"/>
      <c r="AF8" s="89"/>
      <c r="AG8" s="89"/>
      <c r="AH8" s="89"/>
      <c r="AI8" s="90"/>
      <c r="AJ8" s="40"/>
      <c r="AK8" s="47"/>
      <c r="AL8" s="48"/>
      <c r="AM8" s="48"/>
      <c r="AN8" s="48"/>
      <c r="AO8" s="48"/>
      <c r="AP8" s="49"/>
      <c r="BH8" s="50"/>
    </row>
    <row r="9" spans="2:60" x14ac:dyDescent="0.25">
      <c r="B9" s="4"/>
      <c r="C9" s="4"/>
      <c r="D9" s="4"/>
      <c r="E9" s="4"/>
      <c r="F9" s="4"/>
      <c r="G9" s="4"/>
      <c r="I9" s="4"/>
      <c r="J9" s="4"/>
      <c r="K9" s="4"/>
      <c r="L9" s="4"/>
      <c r="M9" s="4"/>
      <c r="N9" s="4"/>
      <c r="P9" s="4"/>
      <c r="Q9" s="4"/>
      <c r="R9" s="4"/>
      <c r="S9" s="4"/>
      <c r="T9" s="4"/>
      <c r="U9" s="4"/>
      <c r="V9" s="9"/>
      <c r="W9" s="4"/>
      <c r="X9" s="4"/>
      <c r="Y9" s="4"/>
      <c r="Z9" s="4"/>
      <c r="AA9" s="4"/>
      <c r="AB9" s="4"/>
      <c r="AD9" s="4"/>
      <c r="AE9" s="4"/>
      <c r="AF9" s="4"/>
      <c r="AG9" s="4"/>
      <c r="AH9" s="4"/>
      <c r="AI9" s="4"/>
      <c r="AK9" s="5"/>
      <c r="AL9" s="5"/>
      <c r="AM9" s="5"/>
      <c r="AN9" s="5"/>
      <c r="AO9" s="5"/>
      <c r="AP9" s="5"/>
    </row>
    <row r="10" spans="2:60" x14ac:dyDescent="0.25">
      <c r="B10" s="4"/>
      <c r="C10" s="4"/>
      <c r="D10" s="4"/>
      <c r="E10" s="4"/>
      <c r="F10" s="4"/>
      <c r="G10" s="4"/>
      <c r="I10" s="4"/>
      <c r="J10" s="4"/>
      <c r="K10" s="4"/>
      <c r="L10" s="4"/>
      <c r="M10" s="4"/>
      <c r="N10" s="4"/>
      <c r="P10" s="4"/>
      <c r="Q10" s="4"/>
      <c r="R10" s="4"/>
      <c r="S10" s="4"/>
      <c r="T10" s="4"/>
      <c r="U10" s="4"/>
      <c r="V10" s="9"/>
      <c r="W10" s="4"/>
      <c r="X10" s="4"/>
      <c r="Y10" s="4"/>
      <c r="Z10" s="4"/>
      <c r="AA10" s="4"/>
      <c r="AB10" s="4"/>
      <c r="AD10" s="4"/>
      <c r="AE10" s="4"/>
      <c r="AF10" s="4"/>
      <c r="AG10" s="4"/>
      <c r="AH10" s="4"/>
      <c r="AI10" s="4"/>
      <c r="AK10" s="5"/>
      <c r="AL10" s="5"/>
      <c r="AM10" s="5"/>
      <c r="AN10" s="5"/>
      <c r="AO10" s="5"/>
      <c r="AP10" s="5"/>
    </row>
    <row r="11" spans="2:60" x14ac:dyDescent="0.25">
      <c r="B11" s="4"/>
      <c r="C11" s="4"/>
      <c r="D11" s="4"/>
      <c r="E11" s="4"/>
      <c r="F11" s="4"/>
      <c r="G11" s="4"/>
      <c r="I11" s="4"/>
      <c r="J11" s="4"/>
      <c r="K11" s="4"/>
      <c r="L11" s="4"/>
      <c r="M11" s="4"/>
      <c r="N11" s="4"/>
      <c r="P11" s="4"/>
      <c r="Q11" s="4"/>
      <c r="R11" s="4"/>
      <c r="S11" s="4"/>
      <c r="T11" s="4"/>
      <c r="U11" s="4"/>
      <c r="V11" s="9"/>
      <c r="W11" s="4"/>
      <c r="X11" s="4"/>
      <c r="Y11" s="4"/>
      <c r="Z11" s="4"/>
      <c r="AA11" s="4"/>
      <c r="AB11" s="4"/>
      <c r="AD11" s="4"/>
      <c r="AE11" s="4"/>
      <c r="AF11" s="4"/>
      <c r="AG11" s="4"/>
      <c r="AH11" s="4"/>
      <c r="AI11" s="4"/>
      <c r="AK11" s="5"/>
      <c r="AL11" s="5"/>
      <c r="AM11" s="5"/>
      <c r="AN11" s="5"/>
      <c r="AO11" s="5"/>
      <c r="AP11" s="5"/>
    </row>
    <row r="12" spans="2:60" x14ac:dyDescent="0.25">
      <c r="B12" s="4"/>
      <c r="C12" s="4"/>
      <c r="D12" s="4"/>
      <c r="E12" s="4"/>
      <c r="F12" s="4"/>
      <c r="G12" s="4"/>
      <c r="I12" s="4"/>
      <c r="J12" s="4"/>
      <c r="K12" s="4"/>
      <c r="L12" s="4"/>
      <c r="M12" s="4"/>
      <c r="N12" s="4"/>
      <c r="P12" s="4"/>
      <c r="Q12" s="4"/>
      <c r="R12" s="4"/>
      <c r="S12" s="4"/>
      <c r="T12" s="4"/>
      <c r="U12" s="4"/>
      <c r="V12" s="9"/>
      <c r="W12" s="4"/>
      <c r="X12" s="4"/>
      <c r="Y12" s="4"/>
      <c r="Z12" s="4"/>
      <c r="AA12" s="4"/>
      <c r="AB12" s="4"/>
      <c r="AD12" s="4"/>
      <c r="AE12" s="4"/>
      <c r="AF12" s="4"/>
      <c r="AG12" s="4"/>
      <c r="AH12" s="4"/>
      <c r="AI12" s="4"/>
      <c r="AK12" s="5"/>
      <c r="AL12" s="5"/>
      <c r="AM12" s="5"/>
      <c r="AN12" s="5"/>
      <c r="AO12" s="5"/>
      <c r="AP12" s="5"/>
    </row>
    <row r="13" spans="2:60" x14ac:dyDescent="0.25">
      <c r="B13" s="4"/>
      <c r="C13" s="4"/>
      <c r="D13" s="4"/>
      <c r="E13" s="4"/>
      <c r="F13" s="4"/>
      <c r="G13" s="4"/>
      <c r="I13" s="4"/>
      <c r="J13" s="4"/>
      <c r="K13" s="4"/>
      <c r="L13" s="4"/>
      <c r="M13" s="4"/>
      <c r="N13" s="4"/>
      <c r="P13" s="4"/>
      <c r="Q13" s="4"/>
      <c r="R13" s="4"/>
      <c r="S13" s="4"/>
      <c r="T13" s="4"/>
      <c r="U13" s="4"/>
      <c r="V13" s="9"/>
      <c r="W13" s="4"/>
      <c r="X13" s="4"/>
      <c r="Y13" s="4"/>
      <c r="Z13" s="4"/>
      <c r="AA13" s="4"/>
      <c r="AB13" s="4"/>
      <c r="AD13" s="4"/>
      <c r="AE13" s="4"/>
      <c r="AF13" s="4"/>
      <c r="AG13" s="4"/>
      <c r="AH13" s="4"/>
      <c r="AI13" s="4"/>
      <c r="AK13" s="5"/>
      <c r="AL13" s="5"/>
      <c r="AM13" s="5"/>
      <c r="AN13" s="5"/>
      <c r="AO13" s="5"/>
      <c r="AP13" s="5"/>
    </row>
    <row r="14" spans="2:60" x14ac:dyDescent="0.25">
      <c r="B14" s="4"/>
      <c r="C14" s="4"/>
      <c r="D14" s="4"/>
      <c r="E14" s="4"/>
      <c r="F14" s="4"/>
      <c r="G14" s="4"/>
      <c r="I14" s="4"/>
      <c r="J14" s="4"/>
      <c r="K14" s="4"/>
      <c r="L14" s="4"/>
      <c r="M14" s="4"/>
      <c r="N14" s="4"/>
      <c r="P14" s="4"/>
      <c r="Q14" s="4"/>
      <c r="R14" s="4"/>
      <c r="S14" s="4"/>
      <c r="T14" s="4"/>
      <c r="U14" s="4"/>
      <c r="V14" s="9"/>
      <c r="W14" s="4"/>
      <c r="X14" s="4"/>
      <c r="Y14" s="4"/>
      <c r="Z14" s="4"/>
      <c r="AA14" s="4"/>
      <c r="AB14" s="4"/>
      <c r="AD14" s="4"/>
      <c r="AE14" s="4"/>
      <c r="AF14" s="4"/>
      <c r="AG14" s="4"/>
      <c r="AH14" s="4"/>
      <c r="AI14" s="4"/>
      <c r="AK14" s="5"/>
      <c r="AL14" s="5"/>
      <c r="AM14" s="5"/>
      <c r="AN14" s="5"/>
      <c r="AO14" s="5"/>
      <c r="AP14" s="5"/>
    </row>
    <row r="15" spans="2:60" x14ac:dyDescent="0.25">
      <c r="B15" s="4"/>
      <c r="C15" s="4"/>
      <c r="D15" s="4"/>
      <c r="E15" s="4"/>
      <c r="F15" s="4"/>
      <c r="G15" s="4"/>
      <c r="I15" s="4"/>
      <c r="J15" s="4"/>
      <c r="K15" s="4"/>
      <c r="L15" s="4"/>
      <c r="M15" s="4"/>
      <c r="N15" s="4"/>
      <c r="P15" s="4"/>
      <c r="Q15" s="4"/>
      <c r="R15" s="4"/>
      <c r="S15" s="4"/>
      <c r="T15" s="4"/>
      <c r="U15" s="4"/>
      <c r="V15" s="9"/>
      <c r="W15" s="4"/>
      <c r="X15" s="4"/>
      <c r="Y15" s="4"/>
      <c r="Z15" s="4"/>
      <c r="AA15" s="4"/>
      <c r="AB15" s="4"/>
      <c r="AD15" s="4"/>
      <c r="AE15" s="4"/>
      <c r="AF15" s="4"/>
      <c r="AG15" s="4"/>
      <c r="AH15" s="4"/>
      <c r="AI15" s="4"/>
      <c r="AK15" s="5"/>
      <c r="AL15" s="5"/>
      <c r="AM15" s="5"/>
      <c r="AN15" s="5"/>
      <c r="AO15" s="5"/>
      <c r="AP15" s="5"/>
    </row>
    <row r="16" spans="2:60" x14ac:dyDescent="0.25">
      <c r="B16" s="4"/>
      <c r="C16" s="4"/>
      <c r="D16" s="4"/>
      <c r="E16" s="4"/>
      <c r="F16" s="4"/>
      <c r="G16" s="4"/>
      <c r="I16" s="4"/>
      <c r="J16" s="4"/>
      <c r="K16" s="4"/>
      <c r="L16" s="4"/>
      <c r="M16" s="4"/>
      <c r="N16" s="4"/>
      <c r="P16" s="4"/>
      <c r="Q16" s="4"/>
      <c r="R16" s="4"/>
      <c r="S16" s="4"/>
      <c r="T16" s="4"/>
      <c r="U16" s="4"/>
      <c r="V16" s="9"/>
      <c r="W16" s="4"/>
      <c r="X16" s="4"/>
      <c r="Y16" s="4"/>
      <c r="Z16" s="4"/>
      <c r="AA16" s="4"/>
      <c r="AB16" s="4"/>
      <c r="AD16" s="4"/>
      <c r="AE16" s="4"/>
      <c r="AF16" s="4"/>
      <c r="AG16" s="4"/>
      <c r="AH16" s="4"/>
      <c r="AI16" s="4"/>
      <c r="AK16" s="5"/>
      <c r="AL16" s="5"/>
      <c r="AM16" s="5"/>
      <c r="AN16" s="5"/>
      <c r="AO16" s="5"/>
      <c r="AP16" s="5"/>
    </row>
    <row r="17" spans="2:52" x14ac:dyDescent="0.25">
      <c r="B17" s="4"/>
      <c r="C17" s="4"/>
      <c r="D17" s="4"/>
      <c r="E17" s="4"/>
      <c r="F17" s="4"/>
      <c r="G17" s="4"/>
      <c r="I17" s="4"/>
      <c r="J17" s="4"/>
      <c r="K17" s="4"/>
      <c r="L17" s="4"/>
      <c r="M17" s="4"/>
      <c r="N17" s="4"/>
      <c r="P17" s="4"/>
      <c r="Q17" s="4"/>
      <c r="R17" s="4"/>
      <c r="S17" s="4"/>
      <c r="T17" s="4"/>
      <c r="U17" s="4"/>
      <c r="V17" s="9"/>
      <c r="W17" s="4"/>
      <c r="X17" s="4"/>
      <c r="Y17" s="4"/>
      <c r="Z17" s="4"/>
      <c r="AA17" s="4"/>
      <c r="AB17" s="4"/>
      <c r="AD17" s="4"/>
      <c r="AE17" s="4"/>
      <c r="AF17" s="4"/>
      <c r="AG17" s="4"/>
      <c r="AH17" s="4"/>
      <c r="AI17" s="4"/>
      <c r="AK17" s="5"/>
      <c r="AL17" s="5"/>
      <c r="AM17" s="5"/>
      <c r="AN17" s="5"/>
      <c r="AO17" s="5"/>
      <c r="AP17" s="5"/>
    </row>
    <row r="18" spans="2:52" x14ac:dyDescent="0.25">
      <c r="B18" s="4"/>
      <c r="C18" s="4"/>
      <c r="D18" s="4"/>
      <c r="E18" s="4"/>
      <c r="F18" s="4"/>
      <c r="G18" s="4"/>
      <c r="I18" s="4"/>
      <c r="J18" s="4"/>
      <c r="K18" s="4"/>
      <c r="L18" s="4"/>
      <c r="M18" s="4"/>
      <c r="N18" s="4"/>
      <c r="P18" s="4"/>
      <c r="Q18" s="4"/>
      <c r="R18" s="4"/>
      <c r="S18" s="4"/>
      <c r="T18" s="4"/>
      <c r="U18" s="4"/>
      <c r="V18" s="9"/>
      <c r="W18" s="4"/>
      <c r="X18" s="4"/>
      <c r="Y18" s="4"/>
      <c r="Z18" s="4"/>
      <c r="AA18" s="4"/>
      <c r="AB18" s="4"/>
      <c r="AD18" s="4"/>
      <c r="AE18" s="4"/>
      <c r="AF18" s="4"/>
      <c r="AG18" s="4"/>
      <c r="AH18" s="4"/>
      <c r="AI18" s="4"/>
      <c r="AK18" s="5"/>
      <c r="AL18" s="5"/>
      <c r="AM18" s="5"/>
      <c r="AN18" s="5"/>
      <c r="AO18" s="5"/>
      <c r="AP18" s="5"/>
    </row>
    <row r="19" spans="2:52" x14ac:dyDescent="0.25">
      <c r="B19" s="4"/>
      <c r="C19" s="4"/>
      <c r="D19" s="4"/>
      <c r="E19" s="4"/>
      <c r="F19" s="4"/>
      <c r="G19" s="4"/>
      <c r="I19" s="4"/>
      <c r="J19" s="4"/>
      <c r="K19" s="4"/>
      <c r="L19" s="4"/>
      <c r="M19" s="4"/>
      <c r="N19" s="4"/>
      <c r="P19" s="4"/>
      <c r="Q19" s="4"/>
      <c r="R19" s="4"/>
      <c r="S19" s="4"/>
      <c r="T19" s="4"/>
      <c r="U19" s="4"/>
      <c r="V19" s="9"/>
      <c r="W19" s="4"/>
      <c r="X19" s="4"/>
      <c r="Y19" s="4"/>
      <c r="Z19" s="4"/>
      <c r="AA19" s="4"/>
      <c r="AB19" s="4"/>
      <c r="AD19" s="4"/>
      <c r="AE19" s="4"/>
      <c r="AF19" s="4"/>
      <c r="AG19" s="4"/>
      <c r="AH19" s="4"/>
      <c r="AI19" s="4"/>
      <c r="AK19" s="5"/>
      <c r="AL19" s="5"/>
      <c r="AM19" s="5"/>
      <c r="AN19" s="5"/>
      <c r="AO19" s="5"/>
      <c r="AP19" s="5"/>
    </row>
    <row r="20" spans="2:52" x14ac:dyDescent="0.25">
      <c r="B20" s="4"/>
      <c r="C20" s="4"/>
      <c r="D20" s="4"/>
      <c r="E20" s="4"/>
      <c r="F20" s="4"/>
      <c r="G20" s="4"/>
      <c r="I20" s="4"/>
      <c r="J20" s="4"/>
      <c r="K20" s="4"/>
      <c r="L20" s="4"/>
      <c r="M20" s="4"/>
      <c r="N20" s="4"/>
      <c r="P20" s="4"/>
      <c r="Q20" s="4"/>
      <c r="R20" s="4"/>
      <c r="S20" s="4"/>
      <c r="T20" s="4"/>
      <c r="U20" s="4"/>
      <c r="V20" s="9"/>
      <c r="W20" s="4"/>
      <c r="X20" s="4"/>
      <c r="Y20" s="4"/>
      <c r="Z20" s="4"/>
      <c r="AA20" s="4"/>
      <c r="AB20" s="4"/>
      <c r="AD20" s="4"/>
      <c r="AE20" s="4"/>
      <c r="AF20" s="4"/>
      <c r="AG20" s="4"/>
      <c r="AH20" s="4"/>
      <c r="AI20" s="4"/>
      <c r="AK20" s="5"/>
      <c r="AL20" s="5"/>
      <c r="AM20" s="5"/>
      <c r="AN20" s="5"/>
      <c r="AO20" s="5"/>
      <c r="AP20" s="5"/>
    </row>
    <row r="21" spans="2:52" x14ac:dyDescent="0.25">
      <c r="E21" s="4"/>
      <c r="G21" s="4"/>
      <c r="I21" s="4"/>
      <c r="K21" s="4"/>
      <c r="M21" s="4"/>
      <c r="O21" s="5"/>
    </row>
    <row r="22" spans="2:52" x14ac:dyDescent="0.25">
      <c r="B22" s="10" t="s">
        <v>55</v>
      </c>
    </row>
    <row r="23" spans="2:52" x14ac:dyDescent="0.25">
      <c r="B23" s="18" t="s">
        <v>49</v>
      </c>
      <c r="C23" s="18"/>
      <c r="D23" s="18"/>
      <c r="E23" s="18"/>
      <c r="F23" s="18"/>
      <c r="G23" s="18" t="s">
        <v>1</v>
      </c>
      <c r="H23" s="18"/>
      <c r="I23" s="18"/>
      <c r="J23" s="18"/>
      <c r="K23" s="18"/>
      <c r="L23" s="18"/>
      <c r="M23" s="18"/>
      <c r="N23" s="18"/>
      <c r="O23" s="18"/>
      <c r="P23" s="18" t="s">
        <v>2</v>
      </c>
      <c r="Q23" s="18"/>
      <c r="R23" s="18"/>
      <c r="S23" s="18"/>
      <c r="T23" s="18"/>
      <c r="U23" s="18"/>
      <c r="V23" s="18"/>
      <c r="W23" s="18" t="s">
        <v>50</v>
      </c>
      <c r="X23" s="18"/>
      <c r="Y23" s="18"/>
      <c r="Z23" s="18"/>
      <c r="AA23" s="18"/>
      <c r="AB23" s="18"/>
      <c r="AC23" s="18"/>
      <c r="AD23" s="18" t="s">
        <v>51</v>
      </c>
      <c r="AE23" s="18"/>
      <c r="AF23" s="18"/>
      <c r="AG23" s="18"/>
      <c r="AH23" s="18"/>
      <c r="AI23" s="18"/>
      <c r="AJ23" s="18"/>
      <c r="AK23" s="18" t="s">
        <v>7</v>
      </c>
      <c r="AL23" s="18"/>
      <c r="AM23" s="18"/>
      <c r="AN23" s="18"/>
      <c r="AO23" s="18"/>
      <c r="AP23" s="18" t="s">
        <v>48</v>
      </c>
      <c r="AQ23" s="18"/>
      <c r="AR23" s="18"/>
      <c r="AS23" s="18"/>
      <c r="AT23" s="18"/>
      <c r="AU23" s="18" t="s">
        <v>9</v>
      </c>
      <c r="AV23" s="18"/>
      <c r="AW23" s="18"/>
      <c r="AX23" s="18"/>
      <c r="AY23" s="18"/>
      <c r="AZ23" s="18"/>
    </row>
    <row r="24" spans="2:52" x14ac:dyDescent="0.25">
      <c r="B24" s="14" t="str" cm="1">
        <f t="array" ref="B24:B27">_xlfn._xlws.FILTER(Reconciliation[Fund ID],Reconciliation[Status]&lt;&gt;"MATCH","—")</f>
        <v>F002</v>
      </c>
      <c r="C24" s="14"/>
      <c r="D24" s="15"/>
      <c r="E24" s="15"/>
      <c r="F24" s="14"/>
      <c r="G24" s="14" t="str" cm="1">
        <f t="array" ref="G24:G27">_xlfn._xlws.FILTER(Reconciliation[Fund Name],Reconciliation[Status]&lt;&gt;"MATCH","—")</f>
        <v>KKR Private Equity III</v>
      </c>
      <c r="H24" s="14"/>
      <c r="I24" s="14"/>
      <c r="J24" s="14"/>
      <c r="K24" s="14"/>
      <c r="L24" s="14"/>
      <c r="M24" s="14"/>
      <c r="N24" s="14"/>
      <c r="O24" s="14"/>
      <c r="P24" s="14" t="str" cm="1">
        <f t="array" ref="P24:P27">_xlfn._xlws.FILTER(Reconciliation[Asset Class],Reconciliation[Status]&lt;&gt;"MATCH","—")</f>
        <v>Private Equity</v>
      </c>
      <c r="Q24" s="14"/>
      <c r="R24" s="14"/>
      <c r="S24" s="14"/>
      <c r="T24" s="14"/>
      <c r="U24" s="14"/>
      <c r="V24" s="14"/>
      <c r="W24" s="16" cm="1">
        <f t="array" ref="W24:W27">_xlfn._xlws.FILTER(Reconciliation[Custodian Market Value],Reconciliation[Status]&lt;&gt;"MATCH","—")</f>
        <v>12750000</v>
      </c>
      <c r="X24" s="17"/>
      <c r="Y24" s="17"/>
      <c r="Z24" s="17"/>
      <c r="AA24" s="17"/>
      <c r="AB24" s="17"/>
      <c r="AC24" s="17"/>
      <c r="AD24" s="16" cm="1">
        <f t="array" ref="AD24:AD27">_xlfn._xlws.FILTER(Reconciliation[Statement Market Value],Reconciliation[Status]&lt;&gt;"MATCH","—")</f>
        <v>12900000</v>
      </c>
      <c r="AE24" s="16"/>
      <c r="AF24" s="16"/>
      <c r="AG24" s="16"/>
      <c r="AH24" s="16"/>
      <c r="AI24" s="16"/>
      <c r="AJ24" s="16"/>
      <c r="AK24" s="16" cm="1">
        <f t="array" ref="AK24:AK27">_xlfn._xlws.FILTER(Reconciliation[Difference ($)],Reconciliation[Status]&lt;&gt;"MATCH","—")</f>
        <v>-150000</v>
      </c>
      <c r="AL24" s="16"/>
      <c r="AM24" s="16"/>
      <c r="AN24" s="16"/>
      <c r="AO24" s="16"/>
      <c r="AP24" s="51" t="str" cm="1">
        <f t="array" ref="AP24:AP27">_xlfn._xlws.FILTER(Reconciliation[Status],Reconciliation[Status]&lt;&gt;"MATCH","—")</f>
        <v>BREAK</v>
      </c>
      <c r="AQ24" s="51"/>
      <c r="AR24" s="51"/>
      <c r="AS24" s="51"/>
      <c r="AT24" s="51"/>
      <c r="AU24" s="14" t="str" cm="1">
        <f t="array" ref="AU24:AU27">_xlfn._xlws.FILTER(Reconciliation[Issue Type],Reconciliation[Status]&lt;&gt;"MATCH","—")</f>
        <v>NAV Mismatch</v>
      </c>
      <c r="AV24" s="14"/>
      <c r="AW24" s="14"/>
      <c r="AX24" s="14"/>
      <c r="AY24" s="14"/>
      <c r="AZ24" s="14"/>
    </row>
    <row r="25" spans="2:52" x14ac:dyDescent="0.25">
      <c r="B25" s="14" t="str">
        <v>F005</v>
      </c>
      <c r="C25" s="14"/>
      <c r="D25" s="15"/>
      <c r="E25" s="15"/>
      <c r="F25" s="14"/>
      <c r="G25" s="14" t="str">
        <v>Bridgewater All Weather</v>
      </c>
      <c r="H25" s="14"/>
      <c r="I25" s="14"/>
      <c r="J25" s="14"/>
      <c r="K25" s="14"/>
      <c r="L25" s="14"/>
      <c r="M25" s="14"/>
      <c r="N25" s="14"/>
      <c r="O25" s="14"/>
      <c r="P25" s="14" t="str">
        <v>Hedge Fund</v>
      </c>
      <c r="Q25" s="14"/>
      <c r="R25" s="14"/>
      <c r="S25" s="14"/>
      <c r="T25" s="14"/>
      <c r="U25" s="14"/>
      <c r="V25" s="14"/>
      <c r="W25" s="16">
        <v>6600000</v>
      </c>
      <c r="X25" s="17"/>
      <c r="Y25" s="17"/>
      <c r="Z25" s="17"/>
      <c r="AA25" s="17"/>
      <c r="AB25" s="17"/>
      <c r="AC25" s="17"/>
      <c r="AD25" s="16">
        <v>6600000</v>
      </c>
      <c r="AE25" s="16"/>
      <c r="AF25" s="16"/>
      <c r="AG25" s="16"/>
      <c r="AH25" s="16"/>
      <c r="AI25" s="16"/>
      <c r="AJ25" s="16"/>
      <c r="AK25" s="16">
        <v>0</v>
      </c>
      <c r="AL25" s="16"/>
      <c r="AM25" s="16"/>
      <c r="AN25" s="16"/>
      <c r="AO25" s="16"/>
      <c r="AP25" s="51" t="str">
        <v>STALE DATE</v>
      </c>
      <c r="AQ25" s="51"/>
      <c r="AR25" s="51"/>
      <c r="AS25" s="51"/>
      <c r="AT25" s="51"/>
      <c r="AU25" s="14" t="str">
        <v>Stale Date</v>
      </c>
      <c r="AV25" s="14"/>
      <c r="AW25" s="14"/>
      <c r="AX25" s="14"/>
      <c r="AY25" s="14"/>
      <c r="AZ25" s="14"/>
    </row>
    <row r="26" spans="2:52" x14ac:dyDescent="0.25">
      <c r="B26" s="14" t="str">
        <v>F007</v>
      </c>
      <c r="C26" s="14"/>
      <c r="D26" s="15"/>
      <c r="E26" s="15"/>
      <c r="F26" s="14"/>
      <c r="G26" s="14" t="str">
        <v>PIMCO Income Fund</v>
      </c>
      <c r="H26" s="14"/>
      <c r="I26" s="14"/>
      <c r="J26" s="14"/>
      <c r="K26" s="14"/>
      <c r="L26" s="14"/>
      <c r="M26" s="14"/>
      <c r="N26" s="14"/>
      <c r="O26" s="14"/>
      <c r="P26" s="14" t="str">
        <v>Fixed Income</v>
      </c>
      <c r="Q26" s="14"/>
      <c r="R26" s="14"/>
      <c r="S26" s="14"/>
      <c r="T26" s="14"/>
      <c r="U26" s="14"/>
      <c r="V26" s="14"/>
      <c r="W26" s="16">
        <v>4250000</v>
      </c>
      <c r="X26" s="17"/>
      <c r="Y26" s="17"/>
      <c r="Z26" s="17"/>
      <c r="AA26" s="17"/>
      <c r="AB26" s="17"/>
      <c r="AC26" s="17"/>
      <c r="AD26" s="16">
        <v>0</v>
      </c>
      <c r="AE26" s="16"/>
      <c r="AF26" s="16"/>
      <c r="AG26" s="16"/>
      <c r="AH26" s="16"/>
      <c r="AI26" s="16"/>
      <c r="AJ26" s="16"/>
      <c r="AK26" s="16">
        <v>0</v>
      </c>
      <c r="AL26" s="16"/>
      <c r="AM26" s="16"/>
      <c r="AN26" s="16"/>
      <c r="AO26" s="16"/>
      <c r="AP26" s="51" t="str">
        <v>MISSING DATA</v>
      </c>
      <c r="AQ26" s="51"/>
      <c r="AR26" s="51"/>
      <c r="AS26" s="51"/>
      <c r="AT26" s="51"/>
      <c r="AU26" s="14" t="str">
        <v>Missing Value</v>
      </c>
      <c r="AV26" s="14"/>
      <c r="AW26" s="14"/>
      <c r="AX26" s="14"/>
      <c r="AY26" s="14"/>
      <c r="AZ26" s="14"/>
    </row>
    <row r="27" spans="2:52" x14ac:dyDescent="0.25">
      <c r="B27" s="14" t="str">
        <v>F009</v>
      </c>
      <c r="C27" s="14"/>
      <c r="D27" s="14"/>
      <c r="E27" s="14"/>
      <c r="F27" s="14"/>
      <c r="G27" s="14" t="str">
        <v>iShares Global REIT</v>
      </c>
      <c r="H27" s="14"/>
      <c r="I27" s="14"/>
      <c r="J27" s="14"/>
      <c r="K27" s="14"/>
      <c r="L27" s="14"/>
      <c r="M27" s="14"/>
      <c r="N27" s="14"/>
      <c r="O27" s="14"/>
      <c r="P27" s="14" t="str">
        <v>Real Assets</v>
      </c>
      <c r="Q27" s="14"/>
      <c r="R27" s="14"/>
      <c r="S27" s="14"/>
      <c r="T27" s="14"/>
      <c r="U27" s="14"/>
      <c r="V27" s="14"/>
      <c r="W27" s="16">
        <v>3750000</v>
      </c>
      <c r="X27" s="17"/>
      <c r="Y27" s="17"/>
      <c r="Z27" s="17"/>
      <c r="AA27" s="17"/>
      <c r="AB27" s="17"/>
      <c r="AC27" s="17"/>
      <c r="AD27" s="16">
        <v>3712500</v>
      </c>
      <c r="AE27" s="16"/>
      <c r="AF27" s="16"/>
      <c r="AG27" s="16"/>
      <c r="AH27" s="16"/>
      <c r="AI27" s="16"/>
      <c r="AJ27" s="16"/>
      <c r="AK27" s="16">
        <v>37500</v>
      </c>
      <c r="AL27" s="16"/>
      <c r="AM27" s="16"/>
      <c r="AN27" s="16"/>
      <c r="AO27" s="16"/>
      <c r="AP27" s="51" t="str">
        <v>BREAK</v>
      </c>
      <c r="AQ27" s="51"/>
      <c r="AR27" s="51"/>
      <c r="AS27" s="51"/>
      <c r="AT27" s="51"/>
      <c r="AU27" s="14" t="str">
        <v>NAV Mismatch</v>
      </c>
      <c r="AV27" s="14"/>
      <c r="AW27" s="14"/>
      <c r="AX27" s="14"/>
      <c r="AY27" s="14"/>
      <c r="AZ27" s="14"/>
    </row>
    <row r="28" spans="2:52" x14ac:dyDescent="0.25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51"/>
      <c r="AQ28" s="51"/>
      <c r="AR28" s="51"/>
      <c r="AS28" s="51"/>
      <c r="AT28" s="51"/>
      <c r="AU28" s="14"/>
      <c r="AV28" s="14"/>
      <c r="AW28" s="14"/>
      <c r="AX28" s="14"/>
      <c r="AY28" s="14"/>
      <c r="AZ28" s="14"/>
    </row>
    <row r="29" spans="2:52" x14ac:dyDescent="0.25">
      <c r="AP29" s="50"/>
    </row>
    <row r="30" spans="2:52" x14ac:dyDescent="0.25">
      <c r="AP30" s="50"/>
    </row>
    <row r="31" spans="2:52" x14ac:dyDescent="0.25">
      <c r="AP31" s="50"/>
    </row>
    <row r="32" spans="2:52" x14ac:dyDescent="0.25">
      <c r="AP32" s="50"/>
    </row>
    <row r="33" spans="8:42" x14ac:dyDescent="0.25">
      <c r="H33" s="7"/>
      <c r="I33" s="7"/>
      <c r="J33" s="7"/>
      <c r="K33" s="7"/>
      <c r="L33" s="7"/>
      <c r="M33" s="7"/>
      <c r="AP33" s="50"/>
    </row>
    <row r="34" spans="8:42" x14ac:dyDescent="0.25">
      <c r="H34" s="7"/>
      <c r="I34" s="7"/>
      <c r="J34" s="7"/>
      <c r="K34" s="7"/>
      <c r="L34" s="7"/>
      <c r="M34" s="7"/>
      <c r="AP34" s="50"/>
    </row>
    <row r="35" spans="8:42" x14ac:dyDescent="0.25">
      <c r="H35" s="7"/>
      <c r="I35" s="7"/>
      <c r="J35" s="7"/>
      <c r="K35" s="7"/>
      <c r="L35" s="7"/>
      <c r="M35" s="7"/>
      <c r="AP35" s="50"/>
    </row>
    <row r="36" spans="8:42" x14ac:dyDescent="0.25">
      <c r="AP36" s="50"/>
    </row>
    <row r="37" spans="8:42" x14ac:dyDescent="0.25">
      <c r="I37" s="7"/>
      <c r="K37" s="7"/>
      <c r="M37" s="7"/>
    </row>
    <row r="38" spans="8:42" x14ac:dyDescent="0.25">
      <c r="H38" s="7"/>
      <c r="I38" s="7"/>
      <c r="J38" s="7"/>
      <c r="K38" s="7"/>
      <c r="L38" s="7"/>
      <c r="M38" s="7"/>
    </row>
    <row r="39" spans="8:42" x14ac:dyDescent="0.25">
      <c r="H39" s="7"/>
      <c r="I39" s="7"/>
      <c r="J39" s="7"/>
      <c r="K39" s="7"/>
      <c r="L39" s="7"/>
      <c r="M39" s="7"/>
    </row>
    <row r="40" spans="8:42" x14ac:dyDescent="0.25">
      <c r="H40" s="7"/>
      <c r="I40" s="7"/>
      <c r="J40" s="7"/>
      <c r="K40" s="7"/>
      <c r="L40" s="7"/>
      <c r="M40" s="7"/>
    </row>
  </sheetData>
  <mergeCells count="21">
    <mergeCell ref="B2:AP3"/>
    <mergeCell ref="AK23:AO23"/>
    <mergeCell ref="AU23:AZ23"/>
    <mergeCell ref="P7:U8"/>
    <mergeCell ref="AK5:AP6"/>
    <mergeCell ref="AK7:AP8"/>
    <mergeCell ref="B23:F23"/>
    <mergeCell ref="G23:O23"/>
    <mergeCell ref="P23:V23"/>
    <mergeCell ref="W23:AC23"/>
    <mergeCell ref="AD23:AJ23"/>
    <mergeCell ref="AP23:AT23"/>
    <mergeCell ref="AD5:AI6"/>
    <mergeCell ref="AD7:AI8"/>
    <mergeCell ref="W7:AB8"/>
    <mergeCell ref="W5:AB6"/>
    <mergeCell ref="B5:G6"/>
    <mergeCell ref="B7:G8"/>
    <mergeCell ref="I5:N6"/>
    <mergeCell ref="I7:N8"/>
    <mergeCell ref="P5:U6"/>
  </mergeCells>
  <conditionalFormatting sqref="AP24:AP39">
    <cfRule type="containsText" dxfId="0" priority="1" operator="containsText" text="BREAK">
      <formula>NOT(ISERROR(SEARCH("BREAK",AP24)))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B7A6D-01AF-4344-A5F9-54C21CEDB0C1}">
  <dimension ref="A1:B13"/>
  <sheetViews>
    <sheetView workbookViewId="0">
      <selection activeCell="A2" sqref="A2:B5"/>
    </sheetView>
  </sheetViews>
  <sheetFormatPr defaultRowHeight="15" x14ac:dyDescent="0.25"/>
  <cols>
    <col min="1" max="1" width="14.140625" bestFit="1" customWidth="1"/>
    <col min="2" max="2" width="14.5703125" bestFit="1" customWidth="1"/>
  </cols>
  <sheetData>
    <row r="1" spans="1:2" x14ac:dyDescent="0.25">
      <c r="A1" t="s">
        <v>53</v>
      </c>
      <c r="B1">
        <f>COUNTA(Reconciliation[Fund ID])</f>
        <v>10</v>
      </c>
    </row>
    <row r="2" spans="1:2" x14ac:dyDescent="0.25">
      <c r="A2" t="s">
        <v>43</v>
      </c>
      <c r="B2">
        <f>COUNTIF(Reconciliation[Status],"MATCH")</f>
        <v>6</v>
      </c>
    </row>
    <row r="3" spans="1:2" x14ac:dyDescent="0.25">
      <c r="A3" t="s">
        <v>44</v>
      </c>
      <c r="B3">
        <f>COUNTIF(Reconciliation[Status], "BREAK")</f>
        <v>2</v>
      </c>
    </row>
    <row r="4" spans="1:2" x14ac:dyDescent="0.25">
      <c r="A4" t="s">
        <v>45</v>
      </c>
      <c r="B4">
        <f>COUNTIF(Reconciliation[Status],"MISSING DATA")</f>
        <v>1</v>
      </c>
    </row>
    <row r="5" spans="1:2" x14ac:dyDescent="0.25">
      <c r="A5" t="s">
        <v>46</v>
      </c>
      <c r="B5">
        <f>COUNTIF(Reconciliation[Status], "STALE DATE")</f>
        <v>1</v>
      </c>
    </row>
    <row r="6" spans="1:2" x14ac:dyDescent="0.25">
      <c r="A6" t="s">
        <v>47</v>
      </c>
      <c r="B6" s="11">
        <f>B2/B1</f>
        <v>0.6</v>
      </c>
    </row>
    <row r="8" spans="1:2" x14ac:dyDescent="0.25">
      <c r="A8" s="6" t="s">
        <v>2</v>
      </c>
      <c r="B8" s="6" t="s">
        <v>52</v>
      </c>
    </row>
    <row r="9" spans="1:2" x14ac:dyDescent="0.25">
      <c r="A9" s="3" t="s">
        <v>12</v>
      </c>
      <c r="B9" s="3">
        <f>COUNTIFS(Reconciliation[Asset Class], A9, Reconciliation[Status], "&lt;&gt;MATCH")</f>
        <v>0</v>
      </c>
    </row>
    <row r="10" spans="1:2" x14ac:dyDescent="0.25">
      <c r="A10" s="3" t="s">
        <v>17</v>
      </c>
      <c r="B10" s="3">
        <f>COUNTIFS(Reconciliation[Asset Class], A10, Reconciliation[Status], "&lt;&gt;MATCH")</f>
        <v>1</v>
      </c>
    </row>
    <row r="11" spans="1:2" x14ac:dyDescent="0.25">
      <c r="A11" s="3" t="s">
        <v>22</v>
      </c>
      <c r="B11" s="3">
        <f>COUNTIFS(Reconciliation[Asset Class], A11, Reconciliation[Status], "&lt;&gt;MATCH")</f>
        <v>1</v>
      </c>
    </row>
    <row r="12" spans="1:2" x14ac:dyDescent="0.25">
      <c r="A12" s="3" t="s">
        <v>25</v>
      </c>
      <c r="B12" s="3">
        <f>COUNTIFS(Reconciliation[Asset Class], A12, Reconciliation[Status], "&lt;&gt;MATCH")</f>
        <v>1</v>
      </c>
    </row>
    <row r="13" spans="1:2" x14ac:dyDescent="0.25">
      <c r="A13" s="3" t="s">
        <v>28</v>
      </c>
      <c r="B13" s="3">
        <f>COUNTIFS(Reconciliation[Asset Class], A13, Reconciliation[Status], "&lt;&gt;MATCH")</f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0087DD8-0C55-42F6-B527-1EC2656DEA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Reconciliation</vt:lpstr>
      <vt:lpstr>Dashboard</vt:lpstr>
      <vt:lpstr>Helper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Gaspar Juico</dc:creator>
  <cp:lastModifiedBy>Gaspar Juico</cp:lastModifiedBy>
  <dcterms:created xsi:type="dcterms:W3CDTF">2015-06-05T18:17:20Z</dcterms:created>
  <dcterms:modified xsi:type="dcterms:W3CDTF">2026-04-23T16:05:07Z</dcterms:modified>
</cp:coreProperties>
</file>